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C:\Users\lilyei\Downloads\"/>
    </mc:Choice>
  </mc:AlternateContent>
  <xr:revisionPtr revIDLastSave="0" documentId="13_ncr:1_{953A1F39-B3BF-486C-9498-3AA2C3BEE4A1}" xr6:coauthVersionLast="45" xr6:coauthVersionMax="45" xr10:uidLastSave="{00000000-0000-0000-0000-000000000000}"/>
  <bookViews>
    <workbookView xWindow="-108" yWindow="-108" windowWidth="23256" windowHeight="12600" tabRatio="967" xr2:uid="{77FB5E30-CA6F-4401-A7AB-E7C3182160AC}"/>
  </bookViews>
  <sheets>
    <sheet name="PRINCIPAL" sheetId="1" r:id="rId1"/>
    <sheet name="PROMEDIO ANUAL" sheetId="110" r:id="rId2"/>
    <sheet name="SEM 01" sheetId="55" r:id="rId3"/>
    <sheet name="SEM 02" sheetId="57" r:id="rId4"/>
    <sheet name="SEM 03" sheetId="58" r:id="rId5"/>
    <sheet name="SEM 04" sheetId="59" r:id="rId6"/>
    <sheet name="SEM 05" sheetId="60" r:id="rId7"/>
    <sheet name="SEM 06" sheetId="61" r:id="rId8"/>
    <sheet name="SEM 07" sheetId="62" r:id="rId9"/>
    <sheet name="SEM 08" sheetId="63" r:id="rId10"/>
    <sheet name="SEM 09" sheetId="64" r:id="rId11"/>
    <sheet name="SEM 10" sheetId="65" r:id="rId12"/>
    <sheet name="SEM 11" sheetId="66" r:id="rId13"/>
    <sheet name="SEM 12" sheetId="67" r:id="rId14"/>
    <sheet name="SEM 13" sheetId="68" r:id="rId15"/>
    <sheet name="SEM 14" sheetId="69" r:id="rId16"/>
    <sheet name="SEM 15" sheetId="70" r:id="rId17"/>
    <sheet name="SEM 16" sheetId="71" r:id="rId18"/>
    <sheet name="SEM 17" sheetId="72" r:id="rId19"/>
    <sheet name="SEM 18" sheetId="73" r:id="rId20"/>
    <sheet name="SEM 19" sheetId="74" r:id="rId21"/>
    <sheet name="SEM 20" sheetId="75" r:id="rId22"/>
    <sheet name="SEM 21" sheetId="76" r:id="rId23"/>
    <sheet name="SEM 22" sheetId="77" r:id="rId24"/>
    <sheet name="SEM 23" sheetId="78" r:id="rId25"/>
    <sheet name="SEM 24" sheetId="79" r:id="rId26"/>
    <sheet name="SEM 25" sheetId="80" r:id="rId27"/>
    <sheet name="SEM 26" sheetId="81" r:id="rId28"/>
    <sheet name="SEM 27" sheetId="82" r:id="rId29"/>
    <sheet name="SEM 28" sheetId="83" r:id="rId30"/>
    <sheet name="SEM 29" sheetId="84" r:id="rId31"/>
    <sheet name="SEM 30" sheetId="85" r:id="rId32"/>
    <sheet name="SEM 31" sheetId="86" r:id="rId33"/>
    <sheet name="SEM 32" sheetId="87" r:id="rId34"/>
    <sheet name="SEM 33" sheetId="88" r:id="rId35"/>
    <sheet name="SEM 34" sheetId="89" r:id="rId36"/>
    <sheet name="SEM 35" sheetId="90" r:id="rId37"/>
    <sheet name="SEM 36" sheetId="91" r:id="rId38"/>
    <sheet name="SEM 37" sheetId="92" r:id="rId39"/>
    <sheet name="SEM 38" sheetId="93" r:id="rId40"/>
    <sheet name="SEM 39" sheetId="94" r:id="rId41"/>
    <sheet name="SEM 40" sheetId="95" r:id="rId42"/>
    <sheet name="SEM 41" sheetId="96" r:id="rId43"/>
    <sheet name="SEM 42" sheetId="97" r:id="rId44"/>
    <sheet name="SEM 43" sheetId="98" r:id="rId45"/>
    <sheet name="SEM 44" sheetId="99" r:id="rId46"/>
    <sheet name="SEM 45" sheetId="100" r:id="rId47"/>
    <sheet name="SEM 46" sheetId="101" r:id="rId48"/>
    <sheet name="SEM 47" sheetId="102" r:id="rId49"/>
    <sheet name="SEM 48" sheetId="103" r:id="rId50"/>
    <sheet name="SEM 49" sheetId="104" r:id="rId51"/>
    <sheet name="SEM 50" sheetId="105" r:id="rId52"/>
    <sheet name="SEM 51" sheetId="106" r:id="rId53"/>
    <sheet name="SEM 52" sheetId="107" r:id="rId5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4" i="1" l="1"/>
  <c r="G4" i="1"/>
  <c r="H4" i="1"/>
  <c r="J4" i="1"/>
  <c r="D42" i="1"/>
  <c r="D41" i="1"/>
  <c r="D40" i="1"/>
  <c r="G37" i="1"/>
  <c r="G36" i="1"/>
  <c r="D36" i="1"/>
  <c r="G35" i="1"/>
  <c r="E35" i="1"/>
  <c r="F35" i="1" s="1"/>
  <c r="D35" i="1"/>
  <c r="G34" i="1"/>
  <c r="E34" i="1"/>
  <c r="E36" i="1" s="1"/>
  <c r="F36" i="1" s="1"/>
  <c r="D34" i="1"/>
  <c r="G30" i="1"/>
  <c r="F30" i="1"/>
  <c r="H30" i="1" s="1"/>
  <c r="J30" i="1" s="1"/>
  <c r="G29" i="1"/>
  <c r="F29" i="1"/>
  <c r="H29" i="1" s="1"/>
  <c r="J29" i="1" s="1"/>
  <c r="G28" i="1"/>
  <c r="H28" i="1" s="1"/>
  <c r="J28" i="1" s="1"/>
  <c r="F28" i="1"/>
  <c r="G27" i="1"/>
  <c r="F27" i="1"/>
  <c r="H27" i="1" s="1"/>
  <c r="J27" i="1" s="1"/>
  <c r="G26" i="1"/>
  <c r="F26" i="1"/>
  <c r="H26" i="1" s="1"/>
  <c r="J26" i="1" s="1"/>
  <c r="H25" i="1"/>
  <c r="J25" i="1" s="1"/>
  <c r="G25" i="1"/>
  <c r="F25" i="1"/>
  <c r="G24" i="1"/>
  <c r="H24" i="1" s="1"/>
  <c r="J24" i="1" s="1"/>
  <c r="F24" i="1"/>
  <c r="G23" i="1"/>
  <c r="F23" i="1"/>
  <c r="H23" i="1" s="1"/>
  <c r="J23" i="1" s="1"/>
  <c r="G22" i="1"/>
  <c r="F22" i="1"/>
  <c r="H22" i="1" s="1"/>
  <c r="J22" i="1" s="1"/>
  <c r="H21" i="1"/>
  <c r="J21" i="1" s="1"/>
  <c r="G21" i="1"/>
  <c r="F21" i="1"/>
  <c r="G20" i="1"/>
  <c r="H20" i="1" s="1"/>
  <c r="J20" i="1" s="1"/>
  <c r="F20" i="1"/>
  <c r="G19" i="1"/>
  <c r="F19" i="1"/>
  <c r="H19" i="1" s="1"/>
  <c r="J19" i="1" s="1"/>
  <c r="G18" i="1"/>
  <c r="F18" i="1"/>
  <c r="H18" i="1" s="1"/>
  <c r="J18" i="1" s="1"/>
  <c r="H17" i="1"/>
  <c r="J17" i="1" s="1"/>
  <c r="G17" i="1"/>
  <c r="F17" i="1"/>
  <c r="G16" i="1"/>
  <c r="H16" i="1" s="1"/>
  <c r="J16" i="1" s="1"/>
  <c r="F16" i="1"/>
  <c r="G15" i="1"/>
  <c r="F15" i="1"/>
  <c r="H15" i="1" s="1"/>
  <c r="J15" i="1" s="1"/>
  <c r="G14" i="1"/>
  <c r="F14" i="1"/>
  <c r="H14" i="1" s="1"/>
  <c r="J14" i="1" s="1"/>
  <c r="H13" i="1"/>
  <c r="J13" i="1" s="1"/>
  <c r="G13" i="1"/>
  <c r="F13" i="1"/>
  <c r="G12" i="1"/>
  <c r="H12" i="1" s="1"/>
  <c r="J12" i="1" s="1"/>
  <c r="F12" i="1"/>
  <c r="G11" i="1"/>
  <c r="F11" i="1"/>
  <c r="H11" i="1" s="1"/>
  <c r="J11" i="1" s="1"/>
  <c r="G10" i="1"/>
  <c r="F10" i="1"/>
  <c r="H10" i="1" s="1"/>
  <c r="J10" i="1" s="1"/>
  <c r="H9" i="1"/>
  <c r="J9" i="1" s="1"/>
  <c r="G9" i="1"/>
  <c r="F9" i="1"/>
  <c r="G8" i="1"/>
  <c r="H8" i="1" s="1"/>
  <c r="J8" i="1" s="1"/>
  <c r="F8" i="1"/>
  <c r="G7" i="1"/>
  <c r="F7" i="1"/>
  <c r="H7" i="1" s="1"/>
  <c r="J7" i="1" s="1"/>
  <c r="G6" i="1"/>
  <c r="F6" i="1"/>
  <c r="H6" i="1" s="1"/>
  <c r="J6" i="1" s="1"/>
  <c r="H5" i="1"/>
  <c r="J5" i="1" s="1"/>
  <c r="G5" i="1"/>
  <c r="F5" i="1"/>
  <c r="F34" i="1" l="1"/>
  <c r="H34" i="1" s="1"/>
  <c r="J34" i="1" s="1"/>
  <c r="D37" i="1"/>
  <c r="E37" i="1" s="1"/>
  <c r="F37" i="1" s="1"/>
  <c r="H37" i="1" s="1"/>
  <c r="J37" i="1" s="1"/>
  <c r="H36" i="1"/>
  <c r="J36" i="1" s="1"/>
  <c r="H35" i="1"/>
  <c r="J35" i="1" s="1"/>
  <c r="E5" i="110" l="1"/>
  <c r="E6" i="110"/>
  <c r="F6" i="110" s="1"/>
  <c r="E7" i="110"/>
  <c r="F7" i="110" s="1"/>
  <c r="E8" i="110"/>
  <c r="F8" i="110" s="1"/>
  <c r="E9" i="110"/>
  <c r="E10" i="110"/>
  <c r="F10" i="110" s="1"/>
  <c r="E11" i="110"/>
  <c r="F11" i="110" s="1"/>
  <c r="E12" i="110"/>
  <c r="F12" i="110" s="1"/>
  <c r="E13" i="110"/>
  <c r="E14" i="110"/>
  <c r="F14" i="110" s="1"/>
  <c r="E15" i="110"/>
  <c r="F15" i="110" s="1"/>
  <c r="E16" i="110"/>
  <c r="F16" i="110" s="1"/>
  <c r="E17" i="110"/>
  <c r="E18" i="110"/>
  <c r="F18" i="110" s="1"/>
  <c r="E19" i="110"/>
  <c r="F19" i="110" s="1"/>
  <c r="E20" i="110"/>
  <c r="F20" i="110" s="1"/>
  <c r="E21" i="110"/>
  <c r="E22" i="110"/>
  <c r="F22" i="110" s="1"/>
  <c r="E23" i="110"/>
  <c r="F23" i="110" s="1"/>
  <c r="E24" i="110"/>
  <c r="F24" i="110" s="1"/>
  <c r="E25" i="110"/>
  <c r="E26" i="110"/>
  <c r="F26" i="110" s="1"/>
  <c r="E27" i="110"/>
  <c r="F27" i="110" s="1"/>
  <c r="E28" i="110"/>
  <c r="F28" i="110" s="1"/>
  <c r="E29" i="110"/>
  <c r="E30" i="110"/>
  <c r="F30" i="110" s="1"/>
  <c r="D5" i="110"/>
  <c r="D6" i="110"/>
  <c r="D7" i="110"/>
  <c r="D8" i="110"/>
  <c r="D9" i="110"/>
  <c r="D10" i="110"/>
  <c r="D11" i="110"/>
  <c r="D12" i="110"/>
  <c r="D13" i="110"/>
  <c r="D14" i="110"/>
  <c r="D15" i="110"/>
  <c r="D16" i="110"/>
  <c r="D17" i="110"/>
  <c r="D18" i="110"/>
  <c r="D19" i="110"/>
  <c r="D20" i="110"/>
  <c r="D21" i="110"/>
  <c r="D22" i="110"/>
  <c r="D23" i="110"/>
  <c r="D24" i="110"/>
  <c r="D25" i="110"/>
  <c r="D26" i="110"/>
  <c r="D27" i="110"/>
  <c r="D28" i="110"/>
  <c r="D29" i="110"/>
  <c r="D30" i="110"/>
  <c r="C5" i="110"/>
  <c r="G5" i="110" s="1"/>
  <c r="C6" i="110"/>
  <c r="G6" i="110" s="1"/>
  <c r="C7" i="110"/>
  <c r="G7" i="110" s="1"/>
  <c r="C8" i="110"/>
  <c r="G8" i="110" s="1"/>
  <c r="C9" i="110"/>
  <c r="G9" i="110" s="1"/>
  <c r="C10" i="110"/>
  <c r="G10" i="110" s="1"/>
  <c r="C11" i="110"/>
  <c r="G11" i="110" s="1"/>
  <c r="C12" i="110"/>
  <c r="G12" i="110" s="1"/>
  <c r="C13" i="110"/>
  <c r="G13" i="110" s="1"/>
  <c r="C14" i="110"/>
  <c r="G14" i="110" s="1"/>
  <c r="C15" i="110"/>
  <c r="G15" i="110" s="1"/>
  <c r="C16" i="110"/>
  <c r="G16" i="110" s="1"/>
  <c r="C17" i="110"/>
  <c r="G17" i="110" s="1"/>
  <c r="C18" i="110"/>
  <c r="G18" i="110" s="1"/>
  <c r="C19" i="110"/>
  <c r="G19" i="110" s="1"/>
  <c r="C20" i="110"/>
  <c r="G20" i="110" s="1"/>
  <c r="C21" i="110"/>
  <c r="G21" i="110" s="1"/>
  <c r="C22" i="110"/>
  <c r="G22" i="110" s="1"/>
  <c r="C23" i="110"/>
  <c r="G23" i="110" s="1"/>
  <c r="C24" i="110"/>
  <c r="G24" i="110" s="1"/>
  <c r="C25" i="110"/>
  <c r="C26" i="110"/>
  <c r="G26" i="110" s="1"/>
  <c r="C27" i="110"/>
  <c r="G27" i="110" s="1"/>
  <c r="C28" i="110"/>
  <c r="G28" i="110" s="1"/>
  <c r="C29" i="110"/>
  <c r="G29" i="110" s="1"/>
  <c r="C30" i="110"/>
  <c r="G30" i="110" s="1"/>
  <c r="E4" i="110"/>
  <c r="E35" i="110" s="1"/>
  <c r="F35" i="110" s="1"/>
  <c r="D4" i="110"/>
  <c r="D36" i="110" s="1"/>
  <c r="C4" i="110"/>
  <c r="G4" i="110" s="1"/>
  <c r="G37" i="110"/>
  <c r="G36" i="110"/>
  <c r="G35" i="110"/>
  <c r="G34" i="110"/>
  <c r="E34" i="110"/>
  <c r="F34" i="110" s="1"/>
  <c r="D34" i="110"/>
  <c r="F29" i="110"/>
  <c r="G25" i="110"/>
  <c r="F25" i="110"/>
  <c r="F21" i="110"/>
  <c r="F17" i="110"/>
  <c r="F13" i="110"/>
  <c r="F9" i="110"/>
  <c r="F5" i="110"/>
  <c r="H5" i="110" l="1"/>
  <c r="J5" i="110" s="1"/>
  <c r="H7" i="110"/>
  <c r="J7" i="110" s="1"/>
  <c r="H9" i="110"/>
  <c r="J9" i="110" s="1"/>
  <c r="H11" i="110"/>
  <c r="J11" i="110" s="1"/>
  <c r="H13" i="110"/>
  <c r="J13" i="110" s="1"/>
  <c r="H15" i="110"/>
  <c r="J15" i="110" s="1"/>
  <c r="H17" i="110"/>
  <c r="J17" i="110" s="1"/>
  <c r="H19" i="110"/>
  <c r="J19" i="110" s="1"/>
  <c r="H21" i="110"/>
  <c r="J21" i="110" s="1"/>
  <c r="H23" i="110"/>
  <c r="J23" i="110" s="1"/>
  <c r="H25" i="110"/>
  <c r="J25" i="110" s="1"/>
  <c r="H27" i="110"/>
  <c r="J27" i="110" s="1"/>
  <c r="H29" i="110"/>
  <c r="J29" i="110" s="1"/>
  <c r="H6" i="110"/>
  <c r="J6" i="110" s="1"/>
  <c r="H8" i="110"/>
  <c r="J8" i="110" s="1"/>
  <c r="H10" i="110"/>
  <c r="J10" i="110" s="1"/>
  <c r="H12" i="110"/>
  <c r="J12" i="110" s="1"/>
  <c r="H14" i="110"/>
  <c r="J14" i="110" s="1"/>
  <c r="H16" i="110"/>
  <c r="J16" i="110" s="1"/>
  <c r="H18" i="110"/>
  <c r="J18" i="110" s="1"/>
  <c r="H20" i="110"/>
  <c r="J20" i="110" s="1"/>
  <c r="H22" i="110"/>
  <c r="J22" i="110" s="1"/>
  <c r="H24" i="110"/>
  <c r="J24" i="110" s="1"/>
  <c r="H26" i="110"/>
  <c r="J26" i="110" s="1"/>
  <c r="H28" i="110"/>
  <c r="J28" i="110" s="1"/>
  <c r="H30" i="110"/>
  <c r="J30" i="110" s="1"/>
  <c r="F4" i="110"/>
  <c r="H4" i="110" s="1"/>
  <c r="J4" i="110" s="1"/>
  <c r="D35" i="110"/>
  <c r="H35" i="110" s="1"/>
  <c r="J35" i="110" s="1"/>
  <c r="H34" i="110"/>
  <c r="J34" i="110" s="1"/>
  <c r="E36" i="110"/>
  <c r="F36" i="110" s="1"/>
  <c r="H36" i="110" s="1"/>
  <c r="J36" i="110" s="1"/>
  <c r="D37" i="110"/>
  <c r="E37" i="110" l="1"/>
  <c r="F37" i="110" s="1"/>
  <c r="H37" i="110" s="1"/>
  <c r="J37" i="110" s="1"/>
</calcChain>
</file>

<file path=xl/sharedStrings.xml><?xml version="1.0" encoding="utf-8"?>
<sst xmlns="http://schemas.openxmlformats.org/spreadsheetml/2006/main" count="190" uniqueCount="49">
  <si>
    <t>NOMBRE</t>
  </si>
  <si>
    <t>PUNTUALIDAD 10%</t>
  </si>
  <si>
    <t>LIMPIEZA 10%</t>
  </si>
  <si>
    <t>PRODUCTIVIDAD 60%</t>
  </si>
  <si>
    <t>Evaluacion</t>
  </si>
  <si>
    <t>INTEGRAL  20%</t>
  </si>
  <si>
    <t>Total 100%</t>
  </si>
  <si>
    <t>Bono Maximo</t>
  </si>
  <si>
    <t>Bono Calculado</t>
  </si>
  <si>
    <t>PEDRO POZOS</t>
  </si>
  <si>
    <t>EDIE JONHATAN ALVAREZ SAMPAYO</t>
  </si>
  <si>
    <t>FREDDY ANTONIO BOCANEGRA VELAZQUEZ</t>
  </si>
  <si>
    <t>MARTIN LOPEZ ZACARIAS</t>
  </si>
  <si>
    <t>ALEJANDRO TORRES SORIA</t>
  </si>
  <si>
    <t>RAMIRO VILLASECA UTRERA</t>
  </si>
  <si>
    <t>JUAN PABLO TREJO RAMIREZ</t>
  </si>
  <si>
    <t>CHRISTIAN JUAREZ RAMIREZ</t>
  </si>
  <si>
    <t>EDUARDO GUZMAN RODRIGUEZ</t>
  </si>
  <si>
    <t>JORGE ANTONIO ARCOS CONTRERAS</t>
  </si>
  <si>
    <t>DANIEL CAMARA NAVARRO</t>
  </si>
  <si>
    <t>JOSE OSCAR PEREZ GOMEZ</t>
  </si>
  <si>
    <t>AXEL ANDRADE ZURITA</t>
  </si>
  <si>
    <t>AURELIO AVILA HERNANDEZ</t>
  </si>
  <si>
    <t>CRISTIAN ANGEL PEREZ ALVAREZ</t>
  </si>
  <si>
    <t>ALEJANDRO REYES CONDE</t>
  </si>
  <si>
    <t>CHRISTIAN SOLIS DELGADO</t>
  </si>
  <si>
    <t>DANIEL HERVIS</t>
  </si>
  <si>
    <t>ROMAN JIMENEZ CUEVAS</t>
  </si>
  <si>
    <t>CRUZ TREJO ARMANDO</t>
  </si>
  <si>
    <t>RAFAEL MARTHA RAMIREZ</t>
  </si>
  <si>
    <t>CASTAÑEDA DIAZ JESUS ANTONIO</t>
  </si>
  <si>
    <t xml:space="preserve">DIEGO ARMANDO SUAREZ GARCIA </t>
  </si>
  <si>
    <t>JUAN PABLO PACHECO LOPEZ</t>
  </si>
  <si>
    <t>LUIS ENRIQUE MENDEZ SILVA</t>
  </si>
  <si>
    <t>ALEXIS HERNANDEZ GARCIA</t>
  </si>
  <si>
    <t xml:space="preserve">INGRID ARCEO BARRUETA </t>
  </si>
  <si>
    <t>JAVIER GONZALEZ MORENO</t>
  </si>
  <si>
    <t>JOSE ALFREDO HERNANDEZ HERNANDEZ</t>
  </si>
  <si>
    <t>M</t>
  </si>
  <si>
    <t>CESAR AUGUSTO VAZQUEZ PEREZ</t>
  </si>
  <si>
    <t>BRENDA REYES</t>
  </si>
  <si>
    <t>Nivel</t>
  </si>
  <si>
    <t>Primero</t>
  </si>
  <si>
    <t>Segundo</t>
  </si>
  <si>
    <t>Mixto</t>
  </si>
  <si>
    <t>SEM 01</t>
  </si>
  <si>
    <t>TURNO</t>
  </si>
  <si>
    <t>PROMEDIO ANUAL</t>
  </si>
  <si>
    <t>EMPLEADO A ELIMINAR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</si>
</sst>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sz val="11"/>
      <color rgb="FF9C0006"/>
      <name val="Calibri"/>
      <family val="2"/>
      <scheme val="minor"/>
    </font>
    <font>
      <b/>
      <sz val="11"/>
      <color theme="1"/>
      <name val="Calibri"/>
      <family val="2"/>
      <scheme val="minor"/>
    </font>
    <font>
      <sz val="11"/>
      <color rgb="FF000000"/>
      <name val="Verdana"/>
      <family val="2"/>
    </font>
    <font>
      <sz val="10"/>
      <color theme="1"/>
      <name val="Verdana"/>
      <family val="2"/>
    </font>
    <font>
      <sz val="11"/>
      <color theme="1"/>
      <name val="Verdana"/>
      <family val="2"/>
    </font>
    <font>
      <sz val="10"/>
      <color theme="1"/>
      <name val="Calibri"/>
      <family val="2"/>
      <scheme val="minor"/>
    </font>
    <font>
      <sz val="18"/>
      <color rgb="FF9C0006"/>
      <name val="Calibri"/>
      <family val="2"/>
      <scheme val="minor"/>
    </font>
    <font>
      <sz val="11"/>
      <color rgb="FF9C5700"/>
      <name val="Calibri"/>
      <family val="2"/>
      <scheme val="minor"/>
    </font>
  </fonts>
  <fills count="8">
    <fill>
      <patternFill patternType="none"/>
    </fill>
    <fill>
      <patternFill patternType="gray125"/>
    </fill>
    <fill>
      <patternFill patternType="solid">
        <fgColor rgb="FFFFC7CE"/>
      </patternFill>
    </fill>
    <fill>
      <patternFill patternType="solid">
        <fgColor rgb="FFFFFF00"/>
        <bgColor rgb="FFFFFF00"/>
      </patternFill>
    </fill>
    <fill>
      <patternFill patternType="solid">
        <fgColor rgb="FF000000"/>
        <bgColor indexed="64"/>
      </patternFill>
    </fill>
    <fill>
      <patternFill patternType="solid">
        <fgColor theme="1" tint="4.9989318521683403E-2"/>
        <bgColor indexed="64"/>
      </patternFill>
    </fill>
    <fill>
      <patternFill patternType="solid">
        <fgColor theme="1" tint="4.9989318521683403E-2"/>
        <bgColor rgb="FFFFFF00"/>
      </patternFill>
    </fill>
    <fill>
      <patternFill patternType="solid">
        <fgColor rgb="FFFFEB9C"/>
      </patternFill>
    </fill>
  </fills>
  <borders count="24">
    <border>
      <left/>
      <right/>
      <top/>
      <bottom/>
      <diagonal/>
    </border>
    <border>
      <left style="thin">
        <color rgb="FF000000"/>
      </left>
      <right style="thin">
        <color rgb="FF000000"/>
      </right>
      <top style="medium">
        <color indexed="64"/>
      </top>
      <bottom/>
      <diagonal/>
    </border>
    <border>
      <left style="thin">
        <color rgb="FF000000"/>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 fillId="2" borderId="0" applyNumberFormat="0" applyBorder="0" applyAlignment="0" applyProtection="0"/>
    <xf numFmtId="0" fontId="8" fillId="7" borderId="0" applyNumberFormat="0" applyBorder="0" applyAlignment="0" applyProtection="0"/>
  </cellStyleXfs>
  <cellXfs count="120">
    <xf numFmtId="0" fontId="0" fillId="0" borderId="0" xfId="0"/>
    <xf numFmtId="0" fontId="2" fillId="0" borderId="0" xfId="0" applyFont="1"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xf>
    <xf numFmtId="0" fontId="0" fillId="0" borderId="1" xfId="0" applyBorder="1" applyAlignment="1">
      <alignment horizontal="center" vertical="center"/>
    </xf>
    <xf numFmtId="0" fontId="0" fillId="3" borderId="6" xfId="0" applyFill="1" applyBorder="1" applyAlignment="1">
      <alignment horizontal="center" vertical="center"/>
    </xf>
    <xf numFmtId="0" fontId="3" fillId="0" borderId="7" xfId="0" applyFont="1" applyBorder="1" applyAlignment="1">
      <alignment vertical="center"/>
    </xf>
    <xf numFmtId="0" fontId="0" fillId="0" borderId="8" xfId="0" applyBorder="1" applyAlignment="1">
      <alignment horizontal="center"/>
    </xf>
    <xf numFmtId="1" fontId="0" fillId="0" borderId="9" xfId="0" applyNumberFormat="1" applyBorder="1" applyAlignment="1">
      <alignment horizontal="center"/>
    </xf>
    <xf numFmtId="1" fontId="0" fillId="0" borderId="9" xfId="0" applyNumberFormat="1" applyBorder="1" applyAlignment="1">
      <alignment horizontal="center" vertical="center"/>
    </xf>
    <xf numFmtId="1" fontId="0" fillId="0" borderId="9" xfId="0" applyNumberFormat="1" applyBorder="1"/>
    <xf numFmtId="0" fontId="0" fillId="0" borderId="9" xfId="0" applyBorder="1"/>
    <xf numFmtId="1" fontId="0" fillId="3" borderId="11" xfId="0" applyNumberFormat="1" applyFill="1" applyBorder="1"/>
    <xf numFmtId="0" fontId="3" fillId="0" borderId="12" xfId="0" applyFont="1" applyBorder="1" applyAlignment="1">
      <alignment vertical="center"/>
    </xf>
    <xf numFmtId="0" fontId="0" fillId="0" borderId="13" xfId="0" applyBorder="1" applyAlignment="1">
      <alignment horizontal="center"/>
    </xf>
    <xf numFmtId="1" fontId="0" fillId="0" borderId="14" xfId="0" applyNumberFormat="1" applyBorder="1" applyAlignment="1">
      <alignment horizontal="center"/>
    </xf>
    <xf numFmtId="164" fontId="0" fillId="0" borderId="14" xfId="0" applyNumberFormat="1" applyBorder="1" applyAlignment="1">
      <alignment horizontal="center"/>
    </xf>
    <xf numFmtId="1" fontId="0" fillId="0" borderId="14" xfId="0" applyNumberFormat="1" applyBorder="1"/>
    <xf numFmtId="0" fontId="0" fillId="0" borderId="14" xfId="0" applyBorder="1"/>
    <xf numFmtId="1" fontId="0" fillId="3" borderId="15" xfId="0" applyNumberFormat="1" applyFill="1" applyBorder="1"/>
    <xf numFmtId="1" fontId="0" fillId="0" borderId="13" xfId="0" applyNumberFormat="1" applyBorder="1" applyAlignment="1">
      <alignment horizontal="center"/>
    </xf>
    <xf numFmtId="0" fontId="0" fillId="0" borderId="14" xfId="0" applyBorder="1" applyAlignment="1">
      <alignment horizontal="center"/>
    </xf>
    <xf numFmtId="0" fontId="3" fillId="4" borderId="12" xfId="0" applyFont="1" applyFill="1" applyBorder="1" applyAlignment="1">
      <alignment vertical="center"/>
    </xf>
    <xf numFmtId="0" fontId="0" fillId="5" borderId="13" xfId="0" applyFill="1" applyBorder="1" applyAlignment="1">
      <alignment horizontal="center"/>
    </xf>
    <xf numFmtId="0" fontId="0" fillId="5" borderId="14" xfId="0" applyFill="1" applyBorder="1" applyAlignment="1">
      <alignment horizontal="center"/>
    </xf>
    <xf numFmtId="164" fontId="0" fillId="5" borderId="14" xfId="0" applyNumberFormat="1" applyFill="1" applyBorder="1" applyAlignment="1">
      <alignment horizontal="center"/>
    </xf>
    <xf numFmtId="1" fontId="0" fillId="5" borderId="14" xfId="0" applyNumberFormat="1" applyFill="1" applyBorder="1" applyAlignment="1">
      <alignment horizontal="center"/>
    </xf>
    <xf numFmtId="1" fontId="0" fillId="5" borderId="14" xfId="0" applyNumberFormat="1" applyFill="1" applyBorder="1" applyAlignment="1">
      <alignment horizontal="center" vertical="center"/>
    </xf>
    <xf numFmtId="1" fontId="0" fillId="5" borderId="14" xfId="0" applyNumberFormat="1" applyFill="1" applyBorder="1"/>
    <xf numFmtId="0" fontId="0" fillId="5" borderId="14" xfId="0" applyFill="1" applyBorder="1"/>
    <xf numFmtId="1" fontId="0" fillId="6" borderId="15" xfId="0" applyNumberFormat="1" applyFill="1" applyBorder="1"/>
    <xf numFmtId="1" fontId="4" fillId="0" borderId="7" xfId="0" applyNumberFormat="1" applyFont="1" applyBorder="1" applyAlignment="1">
      <alignment horizontal="center"/>
    </xf>
    <xf numFmtId="1" fontId="4" fillId="0" borderId="16" xfId="0" applyNumberFormat="1" applyFont="1" applyBorder="1" applyAlignment="1">
      <alignment horizontal="center"/>
    </xf>
    <xf numFmtId="1" fontId="0" fillId="0" borderId="12" xfId="0" applyNumberFormat="1" applyBorder="1" applyAlignment="1">
      <alignment horizontal="center" vertical="center"/>
    </xf>
    <xf numFmtId="1" fontId="4" fillId="0" borderId="8" xfId="0" applyNumberFormat="1" applyFont="1" applyBorder="1" applyAlignment="1">
      <alignment horizontal="center" vertical="center"/>
    </xf>
    <xf numFmtId="1" fontId="4" fillId="0" borderId="17" xfId="0" applyNumberFormat="1" applyFont="1" applyBorder="1" applyAlignment="1">
      <alignment horizontal="center"/>
    </xf>
    <xf numFmtId="1" fontId="4" fillId="0" borderId="18" xfId="0" applyNumberFormat="1" applyFont="1" applyBorder="1" applyAlignment="1">
      <alignment horizontal="center"/>
    </xf>
    <xf numFmtId="1" fontId="4" fillId="0" borderId="19" xfId="0" applyNumberFormat="1" applyFont="1" applyBorder="1" applyAlignment="1">
      <alignment horizontal="center"/>
    </xf>
    <xf numFmtId="1" fontId="4" fillId="0" borderId="20" xfId="0" applyNumberFormat="1" applyFont="1" applyBorder="1" applyAlignment="1">
      <alignment horizontal="center"/>
    </xf>
    <xf numFmtId="0" fontId="3" fillId="0" borderId="17" xfId="0" applyFont="1" applyBorder="1" applyAlignment="1">
      <alignment vertical="center"/>
    </xf>
    <xf numFmtId="1" fontId="0" fillId="0" borderId="21" xfId="0" applyNumberFormat="1" applyBorder="1" applyAlignment="1">
      <alignment horizontal="center"/>
    </xf>
    <xf numFmtId="1" fontId="4" fillId="0" borderId="12" xfId="0" applyNumberFormat="1" applyFont="1" applyBorder="1" applyAlignment="1">
      <alignment horizontal="center"/>
    </xf>
    <xf numFmtId="0" fontId="0" fillId="0" borderId="22" xfId="0" applyBorder="1"/>
    <xf numFmtId="1" fontId="0" fillId="3" borderId="23" xfId="0" applyNumberFormat="1" applyFill="1" applyBorder="1"/>
    <xf numFmtId="0" fontId="5" fillId="0" borderId="14" xfId="0" applyFont="1" applyBorder="1" applyAlignment="1">
      <alignment horizontal="left"/>
    </xf>
    <xf numFmtId="1" fontId="4" fillId="0" borderId="0" xfId="0" applyNumberFormat="1" applyFont="1" applyAlignment="1">
      <alignment horizontal="center"/>
    </xf>
    <xf numFmtId="0" fontId="4" fillId="0" borderId="0" xfId="0" applyFont="1"/>
    <xf numFmtId="0" fontId="6" fillId="0" borderId="0" xfId="0" applyFont="1"/>
    <xf numFmtId="0" fontId="2" fillId="0" borderId="14" xfId="0" applyFont="1" applyBorder="1" applyAlignment="1">
      <alignment horizontal="center" vertical="center"/>
    </xf>
    <xf numFmtId="1" fontId="0" fillId="0" borderId="10" xfId="0" applyNumberFormat="1" applyBorder="1" applyAlignment="1">
      <alignment horizontal="center"/>
    </xf>
    <xf numFmtId="1" fontId="0" fillId="0" borderId="10" xfId="0" applyNumberFormat="1" applyBorder="1" applyAlignment="1">
      <alignment horizontal="center" vertical="center"/>
    </xf>
    <xf numFmtId="0" fontId="7" fillId="2" borderId="0" xfId="1" applyFont="1"/>
    <xf numFmtId="0" fontId="2"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ill="1" applyBorder="1" applyAlignment="1">
      <alignment horizontal="center" vertical="center" wrapText="1"/>
    </xf>
    <xf numFmtId="0" fontId="0" fillId="0" borderId="0" xfId="0" applyFill="1" applyBorder="1"/>
    <xf numFmtId="0" fontId="3" fillId="0" borderId="0" xfId="0" applyFont="1" applyFill="1" applyBorder="1" applyAlignment="1">
      <alignment vertical="center"/>
    </xf>
    <xf numFmtId="0" fontId="0" fillId="0" borderId="0" xfId="0" applyFill="1" applyBorder="1" applyAlignment="1">
      <alignment horizontal="center"/>
    </xf>
    <xf numFmtId="164" fontId="0" fillId="0" borderId="0" xfId="0" applyNumberFormat="1" applyFill="1" applyBorder="1" applyAlignment="1">
      <alignment horizontal="center"/>
    </xf>
    <xf numFmtId="1" fontId="0" fillId="0" borderId="0" xfId="0" applyNumberFormat="1" applyFill="1" applyBorder="1" applyAlignment="1">
      <alignment horizontal="center"/>
    </xf>
    <xf numFmtId="1" fontId="0" fillId="0" borderId="0" xfId="0" applyNumberFormat="1" applyFill="1" applyBorder="1" applyAlignment="1">
      <alignment horizontal="center" vertical="center"/>
    </xf>
    <xf numFmtId="1" fontId="0" fillId="0" borderId="0" xfId="0" applyNumberFormat="1" applyFill="1" applyBorder="1"/>
    <xf numFmtId="1" fontId="4" fillId="0" borderId="0" xfId="0" applyNumberFormat="1" applyFont="1" applyFill="1" applyBorder="1" applyAlignment="1">
      <alignment horizontal="center"/>
    </xf>
    <xf numFmtId="1" fontId="4" fillId="0" borderId="0" xfId="0" applyNumberFormat="1" applyFont="1" applyFill="1" applyBorder="1" applyAlignment="1">
      <alignment horizontal="center" vertical="center"/>
    </xf>
    <xf numFmtId="0" fontId="0" fillId="0" borderId="20" xfId="0" applyBorder="1"/>
    <xf numFmtId="0" fontId="0" fillId="0" borderId="0" xfId="0"/>
    <xf numFmtId="0" fontId="2" fillId="0" borderId="0" xfId="0" applyFont="1"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xf>
    <xf numFmtId="0" fontId="0" fillId="0" borderId="1" xfId="0" applyBorder="1" applyAlignment="1">
      <alignment horizontal="center" vertical="center"/>
    </xf>
    <xf numFmtId="0" fontId="0" fillId="3" borderId="6" xfId="0" applyFill="1" applyBorder="1" applyAlignment="1">
      <alignment horizontal="center" vertical="center"/>
    </xf>
    <xf numFmtId="0" fontId="3" fillId="0" borderId="7" xfId="0" applyFont="1" applyBorder="1" applyAlignment="1">
      <alignment vertical="center"/>
    </xf>
    <xf numFmtId="1" fontId="0" fillId="0" borderId="9" xfId="0" applyNumberFormat="1" applyBorder="1" applyAlignment="1">
      <alignment horizontal="center"/>
    </xf>
    <xf numFmtId="1" fontId="0" fillId="0" borderId="9" xfId="0" applyNumberFormat="1" applyBorder="1" applyAlignment="1">
      <alignment horizontal="center" vertical="center"/>
    </xf>
    <xf numFmtId="0" fontId="3" fillId="0" borderId="12" xfId="0" applyFont="1" applyBorder="1" applyAlignment="1">
      <alignment vertical="center"/>
    </xf>
    <xf numFmtId="0" fontId="0" fillId="0" borderId="13" xfId="0" applyBorder="1" applyAlignment="1">
      <alignment horizontal="center"/>
    </xf>
    <xf numFmtId="1" fontId="0" fillId="0" borderId="14" xfId="0" applyNumberFormat="1" applyBorder="1" applyAlignment="1">
      <alignment horizontal="center"/>
    </xf>
    <xf numFmtId="164" fontId="0" fillId="0" borderId="14" xfId="0" applyNumberFormat="1" applyBorder="1" applyAlignment="1">
      <alignment horizontal="center"/>
    </xf>
    <xf numFmtId="1" fontId="0" fillId="0" borderId="14" xfId="0" applyNumberFormat="1" applyBorder="1"/>
    <xf numFmtId="0" fontId="0" fillId="0" borderId="14" xfId="0" applyBorder="1"/>
    <xf numFmtId="1" fontId="0" fillId="3" borderId="15" xfId="0" applyNumberFormat="1" applyFill="1" applyBorder="1"/>
    <xf numFmtId="1" fontId="0" fillId="0" borderId="13" xfId="0" applyNumberFormat="1" applyBorder="1" applyAlignment="1">
      <alignment horizontal="center"/>
    </xf>
    <xf numFmtId="0" fontId="0" fillId="0" borderId="14" xfId="0" applyBorder="1" applyAlignment="1">
      <alignment horizontal="center"/>
    </xf>
    <xf numFmtId="0" fontId="3" fillId="4" borderId="12" xfId="0" applyFont="1" applyFill="1" applyBorder="1" applyAlignment="1">
      <alignment vertical="center"/>
    </xf>
    <xf numFmtId="0" fontId="0" fillId="5" borderId="13" xfId="0" applyFill="1" applyBorder="1" applyAlignment="1">
      <alignment horizontal="center"/>
    </xf>
    <xf numFmtId="0" fontId="0" fillId="5" borderId="14" xfId="0" applyFill="1" applyBorder="1" applyAlignment="1">
      <alignment horizontal="center"/>
    </xf>
    <xf numFmtId="164" fontId="0" fillId="5" borderId="14" xfId="0" applyNumberFormat="1" applyFill="1" applyBorder="1" applyAlignment="1">
      <alignment horizontal="center"/>
    </xf>
    <xf numFmtId="1" fontId="0" fillId="5" borderId="14" xfId="0" applyNumberFormat="1" applyFill="1" applyBorder="1" applyAlignment="1">
      <alignment horizontal="center"/>
    </xf>
    <xf numFmtId="1" fontId="0" fillId="5" borderId="14" xfId="0" applyNumberFormat="1" applyFill="1" applyBorder="1" applyAlignment="1">
      <alignment horizontal="center" vertical="center"/>
    </xf>
    <xf numFmtId="1" fontId="0" fillId="5" borderId="14" xfId="0" applyNumberFormat="1" applyFill="1" applyBorder="1"/>
    <xf numFmtId="0" fontId="0" fillId="5" borderId="14" xfId="0" applyFill="1" applyBorder="1"/>
    <xf numFmtId="1" fontId="0" fillId="6" borderId="15" xfId="0" applyNumberFormat="1" applyFill="1" applyBorder="1"/>
    <xf numFmtId="1" fontId="4" fillId="0" borderId="7" xfId="0" applyNumberFormat="1" applyFont="1" applyBorder="1" applyAlignment="1">
      <alignment horizontal="center"/>
    </xf>
    <xf numFmtId="1" fontId="4" fillId="0" borderId="16" xfId="0" applyNumberFormat="1" applyFont="1" applyBorder="1" applyAlignment="1">
      <alignment horizontal="center"/>
    </xf>
    <xf numFmtId="1" fontId="0" fillId="0" borderId="12" xfId="0" applyNumberFormat="1" applyBorder="1" applyAlignment="1">
      <alignment horizontal="center" vertical="center"/>
    </xf>
    <xf numFmtId="1" fontId="4" fillId="0" borderId="8" xfId="0" applyNumberFormat="1" applyFont="1" applyBorder="1" applyAlignment="1">
      <alignment horizontal="center" vertical="center"/>
    </xf>
    <xf numFmtId="1" fontId="4" fillId="0" borderId="17" xfId="0" applyNumberFormat="1" applyFont="1" applyBorder="1" applyAlignment="1">
      <alignment horizontal="center"/>
    </xf>
    <xf numFmtId="1" fontId="4" fillId="0" borderId="18" xfId="0" applyNumberFormat="1" applyFont="1" applyBorder="1" applyAlignment="1">
      <alignment horizontal="center"/>
    </xf>
    <xf numFmtId="1" fontId="4" fillId="0" borderId="19" xfId="0" applyNumberFormat="1" applyFont="1" applyBorder="1" applyAlignment="1">
      <alignment horizontal="center"/>
    </xf>
    <xf numFmtId="1" fontId="4" fillId="0" borderId="20" xfId="0" applyNumberFormat="1" applyFont="1" applyBorder="1" applyAlignment="1">
      <alignment horizontal="center"/>
    </xf>
    <xf numFmtId="0" fontId="3" fillId="0" borderId="17" xfId="0" applyFont="1" applyBorder="1" applyAlignment="1">
      <alignment vertical="center"/>
    </xf>
    <xf numFmtId="1" fontId="0" fillId="0" borderId="21" xfId="0" applyNumberFormat="1" applyBorder="1" applyAlignment="1">
      <alignment horizontal="center"/>
    </xf>
    <xf numFmtId="1" fontId="4" fillId="0" borderId="12" xfId="0" applyNumberFormat="1" applyFont="1" applyBorder="1" applyAlignment="1">
      <alignment horizontal="center"/>
    </xf>
    <xf numFmtId="0" fontId="0" fillId="0" borderId="22" xfId="0" applyBorder="1"/>
    <xf numFmtId="1" fontId="0" fillId="3" borderId="23" xfId="0" applyNumberFormat="1" applyFill="1" applyBorder="1"/>
    <xf numFmtId="0" fontId="5" fillId="0" borderId="14" xfId="0" applyFont="1" applyBorder="1" applyAlignment="1">
      <alignment horizontal="left"/>
    </xf>
    <xf numFmtId="1" fontId="4" fillId="0" borderId="0" xfId="0" applyNumberFormat="1" applyFont="1" applyAlignment="1">
      <alignment horizontal="center"/>
    </xf>
    <xf numFmtId="0" fontId="4" fillId="0" borderId="0" xfId="0" applyFont="1"/>
    <xf numFmtId="0" fontId="6" fillId="0" borderId="0" xfId="0" applyFont="1"/>
    <xf numFmtId="0" fontId="2" fillId="0" borderId="14" xfId="0" applyFont="1" applyBorder="1" applyAlignment="1">
      <alignment horizontal="center" vertical="center"/>
    </xf>
    <xf numFmtId="1" fontId="0" fillId="0" borderId="10" xfId="0" applyNumberFormat="1" applyBorder="1" applyAlignment="1">
      <alignment horizontal="center"/>
    </xf>
    <xf numFmtId="1" fontId="0" fillId="0" borderId="10" xfId="0" applyNumberFormat="1" applyBorder="1" applyAlignment="1">
      <alignment horizontal="center" vertical="center"/>
    </xf>
    <xf numFmtId="0" fontId="8" fillId="7" borderId="0" xfId="2" applyAlignment="1">
      <alignment horizontal="center"/>
    </xf>
    <xf numFmtId="0" fontId="2" fillId="0" borderId="0" xfId="0" applyFont="1" applyFill="1" applyBorder="1" applyAlignment="1">
      <alignment horizontal="center" vertical="center"/>
    </xf>
  </cellXfs>
  <cellStyles count="3">
    <cellStyle name="Incorrecto" xfId="1" builtinId="27"/>
    <cellStyle name="Neutral" xfId="2"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419100</xdr:colOff>
          <xdr:row>0</xdr:row>
          <xdr:rowOff>45720</xdr:rowOff>
        </xdr:from>
        <xdr:to>
          <xdr:col>12</xdr:col>
          <xdr:colOff>335280</xdr:colOff>
          <xdr:row>2</xdr:row>
          <xdr:rowOff>0</xdr:rowOff>
        </xdr:to>
        <xdr:sp macro="" textlink="">
          <xdr:nvSpPr>
            <xdr:cNvPr id="1028" name="CommandButton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792480</xdr:colOff>
          <xdr:row>0</xdr:row>
          <xdr:rowOff>7620</xdr:rowOff>
        </xdr:from>
        <xdr:to>
          <xdr:col>9</xdr:col>
          <xdr:colOff>838200</xdr:colOff>
          <xdr:row>1</xdr:row>
          <xdr:rowOff>152400</xdr:rowOff>
        </xdr:to>
        <xdr:sp macro="" textlink="">
          <xdr:nvSpPr>
            <xdr:cNvPr id="1027" name="CommandButton2"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3F43C-C3DD-4A2D-99AD-3646151EAFBD}">
  <sheetPr codeName="Hoja1"/>
  <dimension ref="A1:J45"/>
  <sheetViews>
    <sheetView tabSelected="1" workbookViewId="0">
      <selection activeCell="N41" sqref="N41"/>
    </sheetView>
  </sheetViews>
  <sheetFormatPr baseColWidth="10" defaultRowHeight="14.4" x14ac:dyDescent="0.3"/>
  <cols>
    <col min="1" max="1" width="12" customWidth="1"/>
    <col min="2" max="2" width="49.109375" bestFit="1" customWidth="1"/>
    <col min="3" max="3" width="14.33203125" customWidth="1"/>
    <col min="4" max="4" width="12" customWidth="1"/>
    <col min="5" max="5" width="13.6640625" customWidth="1"/>
    <col min="6" max="6" width="12" customWidth="1"/>
    <col min="7" max="7" width="14" customWidth="1"/>
    <col min="8" max="9" width="12" customWidth="1"/>
    <col min="10" max="10" width="14.5546875" customWidth="1"/>
  </cols>
  <sheetData>
    <row r="1" spans="1:10" ht="23.4" x14ac:dyDescent="0.45">
      <c r="A1" s="54" t="s">
        <v>45</v>
      </c>
      <c r="C1" s="118" t="s">
        <v>48</v>
      </c>
      <c r="D1" s="118"/>
      <c r="E1" s="67" t="s">
        <v>9</v>
      </c>
    </row>
    <row r="2" spans="1:10" ht="15" thickBot="1" x14ac:dyDescent="0.35"/>
    <row r="3" spans="1:10" ht="29.4" thickBot="1" x14ac:dyDescent="0.35">
      <c r="A3" s="115" t="s">
        <v>46</v>
      </c>
      <c r="B3" s="74" t="s">
        <v>0</v>
      </c>
      <c r="C3" s="70" t="s">
        <v>1</v>
      </c>
      <c r="D3" s="71" t="s">
        <v>2</v>
      </c>
      <c r="E3" s="72" t="s">
        <v>3</v>
      </c>
      <c r="F3" s="73" t="s">
        <v>4</v>
      </c>
      <c r="G3" s="74" t="s">
        <v>5</v>
      </c>
      <c r="H3" s="75" t="s">
        <v>6</v>
      </c>
      <c r="I3" s="75" t="s">
        <v>7</v>
      </c>
      <c r="J3" s="76" t="s">
        <v>8</v>
      </c>
    </row>
    <row r="4" spans="1:10" s="68" customFormat="1" ht="15" thickBot="1" x14ac:dyDescent="0.35">
      <c r="A4" s="69">
        <v>1</v>
      </c>
      <c r="B4" s="77" t="s">
        <v>9</v>
      </c>
      <c r="C4" s="81"/>
      <c r="D4" s="82"/>
      <c r="E4" s="83"/>
      <c r="F4" s="78">
        <f t="shared" ref="F4:F30" si="0">IF(((E4/$F$38)*100)&gt;99,(E4/$F$38)*100,E4)</f>
        <v>0</v>
      </c>
      <c r="G4" s="79">
        <f t="shared" ref="G4" si="1">(IF(C4=100,IF(D4=100,IF(F4&gt;84,F4,0),0),0))</f>
        <v>0</v>
      </c>
      <c r="H4" s="84">
        <f t="shared" ref="H4" si="2">IF(C4=100,10,0)+IF(D4=100,10,0)+(F4*0.6)+(G4*0.2)</f>
        <v>0</v>
      </c>
      <c r="I4" s="85"/>
      <c r="J4" s="86">
        <f t="shared" ref="J4" si="3">I4*H4/100</f>
        <v>0</v>
      </c>
    </row>
    <row r="5" spans="1:10" ht="15" thickBot="1" x14ac:dyDescent="0.35">
      <c r="A5" s="69">
        <v>2</v>
      </c>
      <c r="B5" s="80" t="s">
        <v>10</v>
      </c>
      <c r="C5" s="81"/>
      <c r="D5" s="82"/>
      <c r="E5" s="83"/>
      <c r="F5" s="78">
        <f t="shared" si="0"/>
        <v>0</v>
      </c>
      <c r="G5" s="79">
        <f t="shared" ref="G5:G30" si="4">(IF(C5=100,IF(D5=100,IF(F5&gt;84,F5,0),0),0))</f>
        <v>0</v>
      </c>
      <c r="H5" s="84">
        <f t="shared" ref="H5:H30" si="5">IF(C5=100,10,0)+IF(D5=100,10,0)+(F5*0.6)+(G5*0.2)</f>
        <v>0</v>
      </c>
      <c r="I5" s="85"/>
      <c r="J5" s="86">
        <f t="shared" ref="J5:J37" si="6">I5*H5/100</f>
        <v>0</v>
      </c>
    </row>
    <row r="6" spans="1:10" ht="15" thickBot="1" x14ac:dyDescent="0.35">
      <c r="A6" s="69">
        <v>2</v>
      </c>
      <c r="B6" s="80" t="s">
        <v>11</v>
      </c>
      <c r="C6" s="81"/>
      <c r="D6" s="82"/>
      <c r="E6" s="83"/>
      <c r="F6" s="78">
        <f t="shared" si="0"/>
        <v>0</v>
      </c>
      <c r="G6" s="79">
        <f t="shared" si="4"/>
        <v>0</v>
      </c>
      <c r="H6" s="84">
        <f t="shared" si="5"/>
        <v>0</v>
      </c>
      <c r="I6" s="85"/>
      <c r="J6" s="86">
        <f t="shared" si="6"/>
        <v>0</v>
      </c>
    </row>
    <row r="7" spans="1:10" ht="15" thickBot="1" x14ac:dyDescent="0.35">
      <c r="A7" s="69">
        <v>1</v>
      </c>
      <c r="B7" s="80" t="s">
        <v>12</v>
      </c>
      <c r="C7" s="81"/>
      <c r="D7" s="82"/>
      <c r="E7" s="83"/>
      <c r="F7" s="78">
        <f t="shared" si="0"/>
        <v>0</v>
      </c>
      <c r="G7" s="79">
        <f t="shared" si="4"/>
        <v>0</v>
      </c>
      <c r="H7" s="84">
        <f t="shared" si="5"/>
        <v>0</v>
      </c>
      <c r="I7" s="85"/>
      <c r="J7" s="86">
        <f t="shared" si="6"/>
        <v>0</v>
      </c>
    </row>
    <row r="8" spans="1:10" ht="15" thickBot="1" x14ac:dyDescent="0.35">
      <c r="A8" s="69">
        <v>1</v>
      </c>
      <c r="B8" s="80" t="s">
        <v>13</v>
      </c>
      <c r="C8" s="81"/>
      <c r="D8" s="82"/>
      <c r="E8" s="83"/>
      <c r="F8" s="78">
        <f t="shared" si="0"/>
        <v>0</v>
      </c>
      <c r="G8" s="79">
        <f t="shared" si="4"/>
        <v>0</v>
      </c>
      <c r="H8" s="84">
        <f t="shared" si="5"/>
        <v>0</v>
      </c>
      <c r="I8" s="85"/>
      <c r="J8" s="86">
        <f t="shared" si="6"/>
        <v>0</v>
      </c>
    </row>
    <row r="9" spans="1:10" ht="15" thickBot="1" x14ac:dyDescent="0.35">
      <c r="A9" s="69">
        <v>1</v>
      </c>
      <c r="B9" s="80" t="s">
        <v>14</v>
      </c>
      <c r="C9" s="81"/>
      <c r="D9" s="82"/>
      <c r="E9" s="83"/>
      <c r="F9" s="78">
        <f t="shared" si="0"/>
        <v>0</v>
      </c>
      <c r="G9" s="79">
        <f t="shared" si="4"/>
        <v>0</v>
      </c>
      <c r="H9" s="84">
        <f t="shared" si="5"/>
        <v>0</v>
      </c>
      <c r="I9" s="85"/>
      <c r="J9" s="86">
        <f t="shared" si="6"/>
        <v>0</v>
      </c>
    </row>
    <row r="10" spans="1:10" ht="15" thickBot="1" x14ac:dyDescent="0.35">
      <c r="A10" s="69">
        <v>1</v>
      </c>
      <c r="B10" s="80" t="s">
        <v>15</v>
      </c>
      <c r="C10" s="81"/>
      <c r="D10" s="82"/>
      <c r="E10" s="83"/>
      <c r="F10" s="78">
        <f t="shared" si="0"/>
        <v>0</v>
      </c>
      <c r="G10" s="79">
        <f t="shared" si="4"/>
        <v>0</v>
      </c>
      <c r="H10" s="84">
        <f t="shared" si="5"/>
        <v>0</v>
      </c>
      <c r="I10" s="85"/>
      <c r="J10" s="86">
        <f t="shared" si="6"/>
        <v>0</v>
      </c>
    </row>
    <row r="11" spans="1:10" ht="15" thickBot="1" x14ac:dyDescent="0.35">
      <c r="A11" s="69">
        <v>1</v>
      </c>
      <c r="B11" s="80" t="s">
        <v>16</v>
      </c>
      <c r="C11" s="87"/>
      <c r="D11" s="82"/>
      <c r="E11" s="83"/>
      <c r="F11" s="78">
        <f t="shared" si="0"/>
        <v>0</v>
      </c>
      <c r="G11" s="79">
        <f t="shared" si="4"/>
        <v>0</v>
      </c>
      <c r="H11" s="84">
        <f t="shared" si="5"/>
        <v>0</v>
      </c>
      <c r="I11" s="85"/>
      <c r="J11" s="86">
        <f t="shared" si="6"/>
        <v>0</v>
      </c>
    </row>
    <row r="12" spans="1:10" ht="15" thickBot="1" x14ac:dyDescent="0.35">
      <c r="A12" s="69">
        <v>1</v>
      </c>
      <c r="B12" s="80" t="s">
        <v>17</v>
      </c>
      <c r="C12" s="81"/>
      <c r="D12" s="82"/>
      <c r="E12" s="83"/>
      <c r="F12" s="78">
        <f t="shared" si="0"/>
        <v>0</v>
      </c>
      <c r="G12" s="79">
        <f t="shared" si="4"/>
        <v>0</v>
      </c>
      <c r="H12" s="84">
        <f t="shared" si="5"/>
        <v>0</v>
      </c>
      <c r="I12" s="85"/>
      <c r="J12" s="86">
        <f t="shared" si="6"/>
        <v>0</v>
      </c>
    </row>
    <row r="13" spans="1:10" ht="15" thickBot="1" x14ac:dyDescent="0.35">
      <c r="A13" s="69">
        <v>2</v>
      </c>
      <c r="B13" s="80" t="s">
        <v>18</v>
      </c>
      <c r="C13" s="81"/>
      <c r="D13" s="82"/>
      <c r="E13" s="83"/>
      <c r="F13" s="78">
        <f t="shared" si="0"/>
        <v>0</v>
      </c>
      <c r="G13" s="79">
        <f t="shared" si="4"/>
        <v>0</v>
      </c>
      <c r="H13" s="84">
        <f t="shared" si="5"/>
        <v>0</v>
      </c>
      <c r="I13" s="85"/>
      <c r="J13" s="86">
        <f t="shared" si="6"/>
        <v>0</v>
      </c>
    </row>
    <row r="14" spans="1:10" ht="15" thickBot="1" x14ac:dyDescent="0.35">
      <c r="A14" s="69">
        <v>1</v>
      </c>
      <c r="B14" s="80" t="s">
        <v>19</v>
      </c>
      <c r="C14" s="81"/>
      <c r="D14" s="82"/>
      <c r="E14" s="83"/>
      <c r="F14" s="78">
        <f t="shared" si="0"/>
        <v>0</v>
      </c>
      <c r="G14" s="79">
        <f t="shared" si="4"/>
        <v>0</v>
      </c>
      <c r="H14" s="84">
        <f t="shared" si="5"/>
        <v>0</v>
      </c>
      <c r="I14" s="85"/>
      <c r="J14" s="86">
        <f t="shared" si="6"/>
        <v>0</v>
      </c>
    </row>
    <row r="15" spans="1:10" ht="15" thickBot="1" x14ac:dyDescent="0.35">
      <c r="A15" s="69">
        <v>2</v>
      </c>
      <c r="B15" s="80" t="s">
        <v>20</v>
      </c>
      <c r="C15" s="81"/>
      <c r="D15" s="82"/>
      <c r="E15" s="83"/>
      <c r="F15" s="78">
        <f t="shared" si="0"/>
        <v>0</v>
      </c>
      <c r="G15" s="79">
        <f t="shared" si="4"/>
        <v>0</v>
      </c>
      <c r="H15" s="84">
        <f t="shared" si="5"/>
        <v>0</v>
      </c>
      <c r="I15" s="85"/>
      <c r="J15" s="86">
        <f t="shared" si="6"/>
        <v>0</v>
      </c>
    </row>
    <row r="16" spans="1:10" ht="15" thickBot="1" x14ac:dyDescent="0.35">
      <c r="A16" s="69">
        <v>2</v>
      </c>
      <c r="B16" s="80" t="s">
        <v>21</v>
      </c>
      <c r="C16" s="81"/>
      <c r="D16" s="82"/>
      <c r="E16" s="83"/>
      <c r="F16" s="78">
        <f t="shared" si="0"/>
        <v>0</v>
      </c>
      <c r="G16" s="79">
        <f t="shared" si="4"/>
        <v>0</v>
      </c>
      <c r="H16" s="84">
        <f t="shared" si="5"/>
        <v>0</v>
      </c>
      <c r="I16" s="85"/>
      <c r="J16" s="86">
        <f t="shared" si="6"/>
        <v>0</v>
      </c>
    </row>
    <row r="17" spans="1:10" ht="15" thickBot="1" x14ac:dyDescent="0.35">
      <c r="A17" s="69">
        <v>2</v>
      </c>
      <c r="B17" s="80" t="s">
        <v>22</v>
      </c>
      <c r="C17" s="87"/>
      <c r="D17" s="82"/>
      <c r="E17" s="83"/>
      <c r="F17" s="78">
        <f t="shared" si="0"/>
        <v>0</v>
      </c>
      <c r="G17" s="79">
        <f t="shared" si="4"/>
        <v>0</v>
      </c>
      <c r="H17" s="84">
        <f t="shared" si="5"/>
        <v>0</v>
      </c>
      <c r="I17" s="85"/>
      <c r="J17" s="86">
        <f t="shared" si="6"/>
        <v>0</v>
      </c>
    </row>
    <row r="18" spans="1:10" ht="15" thickBot="1" x14ac:dyDescent="0.35">
      <c r="A18" s="69">
        <v>1</v>
      </c>
      <c r="B18" s="80" t="s">
        <v>23</v>
      </c>
      <c r="C18" s="87"/>
      <c r="D18" s="82"/>
      <c r="E18" s="83"/>
      <c r="F18" s="78">
        <f t="shared" si="0"/>
        <v>0</v>
      </c>
      <c r="G18" s="79">
        <f t="shared" si="4"/>
        <v>0</v>
      </c>
      <c r="H18" s="84">
        <f t="shared" si="5"/>
        <v>0</v>
      </c>
      <c r="I18" s="85"/>
      <c r="J18" s="86">
        <f t="shared" si="6"/>
        <v>0</v>
      </c>
    </row>
    <row r="19" spans="1:10" ht="15" thickBot="1" x14ac:dyDescent="0.35">
      <c r="A19" s="69">
        <v>1</v>
      </c>
      <c r="B19" s="80" t="s">
        <v>24</v>
      </c>
      <c r="C19" s="81"/>
      <c r="D19" s="82"/>
      <c r="E19" s="83"/>
      <c r="F19" s="78">
        <f t="shared" si="0"/>
        <v>0</v>
      </c>
      <c r="G19" s="79">
        <f t="shared" si="4"/>
        <v>0</v>
      </c>
      <c r="H19" s="84">
        <f t="shared" si="5"/>
        <v>0</v>
      </c>
      <c r="I19" s="85"/>
      <c r="J19" s="86">
        <f t="shared" si="6"/>
        <v>0</v>
      </c>
    </row>
    <row r="20" spans="1:10" ht="15" thickBot="1" x14ac:dyDescent="0.35">
      <c r="A20" s="69">
        <v>1</v>
      </c>
      <c r="B20" s="80" t="s">
        <v>25</v>
      </c>
      <c r="C20" s="81"/>
      <c r="D20" s="82"/>
      <c r="E20" s="83"/>
      <c r="F20" s="78">
        <f t="shared" si="0"/>
        <v>0</v>
      </c>
      <c r="G20" s="79">
        <f t="shared" si="4"/>
        <v>0</v>
      </c>
      <c r="H20" s="84">
        <f t="shared" si="5"/>
        <v>0</v>
      </c>
      <c r="I20" s="85"/>
      <c r="J20" s="86">
        <f t="shared" si="6"/>
        <v>0</v>
      </c>
    </row>
    <row r="21" spans="1:10" ht="15" thickBot="1" x14ac:dyDescent="0.35">
      <c r="A21" s="69">
        <v>1</v>
      </c>
      <c r="B21" s="80" t="s">
        <v>26</v>
      </c>
      <c r="C21" s="81"/>
      <c r="D21" s="88"/>
      <c r="E21" s="83"/>
      <c r="F21" s="78">
        <f t="shared" si="0"/>
        <v>0</v>
      </c>
      <c r="G21" s="79">
        <f t="shared" si="4"/>
        <v>0</v>
      </c>
      <c r="H21" s="84">
        <f t="shared" si="5"/>
        <v>0</v>
      </c>
      <c r="I21" s="85"/>
      <c r="J21" s="86">
        <f t="shared" si="6"/>
        <v>0</v>
      </c>
    </row>
    <row r="22" spans="1:10" ht="15" thickBot="1" x14ac:dyDescent="0.35">
      <c r="A22" s="69">
        <v>1</v>
      </c>
      <c r="B22" s="80" t="s">
        <v>27</v>
      </c>
      <c r="C22" s="81"/>
      <c r="D22" s="88"/>
      <c r="E22" s="83"/>
      <c r="F22" s="78">
        <f t="shared" si="0"/>
        <v>0</v>
      </c>
      <c r="G22" s="79">
        <f t="shared" si="4"/>
        <v>0</v>
      </c>
      <c r="H22" s="84">
        <f t="shared" si="5"/>
        <v>0</v>
      </c>
      <c r="I22" s="85"/>
      <c r="J22" s="86">
        <f t="shared" si="6"/>
        <v>0</v>
      </c>
    </row>
    <row r="23" spans="1:10" ht="15" thickBot="1" x14ac:dyDescent="0.35">
      <c r="A23" s="69">
        <v>1</v>
      </c>
      <c r="B23" s="80" t="s">
        <v>28</v>
      </c>
      <c r="C23" s="81"/>
      <c r="D23" s="88"/>
      <c r="E23" s="83"/>
      <c r="F23" s="78">
        <f t="shared" si="0"/>
        <v>0</v>
      </c>
      <c r="G23" s="79">
        <f t="shared" si="4"/>
        <v>0</v>
      </c>
      <c r="H23" s="84">
        <f t="shared" si="5"/>
        <v>0</v>
      </c>
      <c r="I23" s="85"/>
      <c r="J23" s="86">
        <f t="shared" si="6"/>
        <v>0</v>
      </c>
    </row>
    <row r="24" spans="1:10" ht="15" thickBot="1" x14ac:dyDescent="0.35">
      <c r="A24" s="69">
        <v>1</v>
      </c>
      <c r="B24" s="80" t="s">
        <v>29</v>
      </c>
      <c r="C24" s="81"/>
      <c r="D24" s="88"/>
      <c r="E24" s="83"/>
      <c r="F24" s="78">
        <f t="shared" si="0"/>
        <v>0</v>
      </c>
      <c r="G24" s="79">
        <f t="shared" si="4"/>
        <v>0</v>
      </c>
      <c r="H24" s="84">
        <f t="shared" si="5"/>
        <v>0</v>
      </c>
      <c r="I24" s="85"/>
      <c r="J24" s="86">
        <f t="shared" si="6"/>
        <v>0</v>
      </c>
    </row>
    <row r="25" spans="1:10" ht="15" thickBot="1" x14ac:dyDescent="0.35">
      <c r="A25" s="69">
        <v>2</v>
      </c>
      <c r="B25" s="80" t="s">
        <v>30</v>
      </c>
      <c r="C25" s="81"/>
      <c r="D25" s="88"/>
      <c r="E25" s="83"/>
      <c r="F25" s="78">
        <f t="shared" si="0"/>
        <v>0</v>
      </c>
      <c r="G25" s="79">
        <f t="shared" si="4"/>
        <v>0</v>
      </c>
      <c r="H25" s="84">
        <f t="shared" si="5"/>
        <v>0</v>
      </c>
      <c r="I25" s="85"/>
      <c r="J25" s="86">
        <f t="shared" si="6"/>
        <v>0</v>
      </c>
    </row>
    <row r="26" spans="1:10" ht="15" thickBot="1" x14ac:dyDescent="0.35">
      <c r="A26" s="69">
        <v>2</v>
      </c>
      <c r="B26" s="80" t="s">
        <v>31</v>
      </c>
      <c r="C26" s="81"/>
      <c r="D26" s="88"/>
      <c r="E26" s="83"/>
      <c r="F26" s="78">
        <f t="shared" si="0"/>
        <v>0</v>
      </c>
      <c r="G26" s="79">
        <f t="shared" si="4"/>
        <v>0</v>
      </c>
      <c r="H26" s="84">
        <f t="shared" si="5"/>
        <v>0</v>
      </c>
      <c r="I26" s="85"/>
      <c r="J26" s="86">
        <f t="shared" si="6"/>
        <v>0</v>
      </c>
    </row>
    <row r="27" spans="1:10" ht="15" thickBot="1" x14ac:dyDescent="0.35">
      <c r="A27" s="69">
        <v>1</v>
      </c>
      <c r="B27" s="80" t="s">
        <v>32</v>
      </c>
      <c r="C27" s="81"/>
      <c r="D27" s="88"/>
      <c r="E27" s="83"/>
      <c r="F27" s="78">
        <f t="shared" si="0"/>
        <v>0</v>
      </c>
      <c r="G27" s="79">
        <f t="shared" si="4"/>
        <v>0</v>
      </c>
      <c r="H27" s="84">
        <f t="shared" si="5"/>
        <v>0</v>
      </c>
      <c r="I27" s="85"/>
      <c r="J27" s="86">
        <f t="shared" si="6"/>
        <v>0</v>
      </c>
    </row>
    <row r="28" spans="1:10" ht="15" thickBot="1" x14ac:dyDescent="0.35">
      <c r="A28" s="69">
        <v>2</v>
      </c>
      <c r="B28" s="80" t="s">
        <v>33</v>
      </c>
      <c r="C28" s="81"/>
      <c r="D28" s="88"/>
      <c r="E28" s="83"/>
      <c r="F28" s="78">
        <f t="shared" si="0"/>
        <v>0</v>
      </c>
      <c r="G28" s="79">
        <f t="shared" si="4"/>
        <v>0</v>
      </c>
      <c r="H28" s="84">
        <f t="shared" si="5"/>
        <v>0</v>
      </c>
      <c r="I28" s="85"/>
      <c r="J28" s="86">
        <f t="shared" si="6"/>
        <v>0</v>
      </c>
    </row>
    <row r="29" spans="1:10" ht="15" thickBot="1" x14ac:dyDescent="0.35">
      <c r="A29" s="69"/>
      <c r="B29" s="80" t="s">
        <v>34</v>
      </c>
      <c r="C29" s="81"/>
      <c r="D29" s="88"/>
      <c r="E29" s="83"/>
      <c r="F29" s="78">
        <f t="shared" si="0"/>
        <v>0</v>
      </c>
      <c r="G29" s="79">
        <f t="shared" si="4"/>
        <v>0</v>
      </c>
      <c r="H29" s="84">
        <f t="shared" si="5"/>
        <v>0</v>
      </c>
      <c r="I29" s="85"/>
      <c r="J29" s="86">
        <f t="shared" si="6"/>
        <v>0</v>
      </c>
    </row>
    <row r="30" spans="1:10" x14ac:dyDescent="0.3">
      <c r="A30" s="69"/>
      <c r="B30" s="80" t="s">
        <v>35</v>
      </c>
      <c r="C30" s="81"/>
      <c r="D30" s="88"/>
      <c r="E30" s="83"/>
      <c r="F30" s="78">
        <f t="shared" si="0"/>
        <v>0</v>
      </c>
      <c r="G30" s="79">
        <f t="shared" si="4"/>
        <v>0</v>
      </c>
      <c r="H30" s="84">
        <f t="shared" si="5"/>
        <v>0</v>
      </c>
      <c r="I30" s="85"/>
      <c r="J30" s="86">
        <f t="shared" si="6"/>
        <v>0</v>
      </c>
    </row>
    <row r="31" spans="1:10" x14ac:dyDescent="0.3">
      <c r="A31" s="69"/>
      <c r="B31" s="80"/>
      <c r="C31" s="81"/>
      <c r="D31" s="88"/>
      <c r="E31" s="83"/>
      <c r="F31" s="116"/>
      <c r="G31" s="117"/>
      <c r="H31" s="84"/>
      <c r="I31" s="85"/>
      <c r="J31" s="86"/>
    </row>
    <row r="32" spans="1:10" x14ac:dyDescent="0.3">
      <c r="A32" s="69"/>
      <c r="B32" s="80"/>
      <c r="C32" s="81"/>
      <c r="D32" s="88"/>
      <c r="E32" s="83"/>
      <c r="F32" s="116"/>
      <c r="G32" s="117"/>
      <c r="H32" s="84"/>
      <c r="I32" s="85"/>
      <c r="J32" s="86"/>
    </row>
    <row r="33" spans="1:10" ht="15" thickBot="1" x14ac:dyDescent="0.35">
      <c r="A33" s="69"/>
      <c r="B33" s="89"/>
      <c r="C33" s="90"/>
      <c r="D33" s="91"/>
      <c r="E33" s="92"/>
      <c r="F33" s="93"/>
      <c r="G33" s="94"/>
      <c r="H33" s="95"/>
      <c r="I33" s="96"/>
      <c r="J33" s="97"/>
    </row>
    <row r="34" spans="1:10" ht="15" thickBot="1" x14ac:dyDescent="0.35">
      <c r="A34" s="69">
        <v>2</v>
      </c>
      <c r="B34" s="80" t="s">
        <v>36</v>
      </c>
      <c r="C34" s="87"/>
      <c r="D34" s="98">
        <f>IF(A34=1,SUMIF(A3:A33,1,D3:D33)/D40,SUMIF(A3:A33,2,D3:D33)/D41)</f>
        <v>0</v>
      </c>
      <c r="E34" s="98">
        <f>IF(A34=1,SUMIF(A3:A33,1,E3:E33)/D40,SUMIF(A3:A33,2,E3:E33)/D41)</f>
        <v>0</v>
      </c>
      <c r="F34" s="99">
        <f>IF(((E34/$F$38)*100)&gt;99,(E34/$F$38)*100,E34)</f>
        <v>0</v>
      </c>
      <c r="G34" s="100">
        <f t="shared" ref="G34:G36" si="7">(IF(C34=100,IF(D34&gt;80,IF(F34&gt;79,F34,0),0),0))</f>
        <v>0</v>
      </c>
      <c r="H34" s="101">
        <f t="shared" ref="H34:H37" si="8">IF(C34=100,10,0)+IF(D34=100,10,0)+IF(F34&gt;70,(F34*0.6),(F34*0.3))+(G34*0.2)</f>
        <v>0</v>
      </c>
      <c r="I34" s="85"/>
      <c r="J34" s="86">
        <f t="shared" si="6"/>
        <v>0</v>
      </c>
    </row>
    <row r="35" spans="1:10" ht="15" thickBot="1" x14ac:dyDescent="0.35">
      <c r="A35" s="69">
        <v>1</v>
      </c>
      <c r="B35" s="80" t="s">
        <v>37</v>
      </c>
      <c r="C35" s="87"/>
      <c r="D35" s="102">
        <f>IF(A35=1,SUMIF(A5:A33,1,D5:D33)/D40,SUMIF(A5:A33,2,D5:D33)/D41)</f>
        <v>0</v>
      </c>
      <c r="E35" s="102">
        <f>IF(A35=1,SUMIF(A5:A33,1,E5:E33)/D40,SUMIF(A5:A33,2,E5:E33)/D41)</f>
        <v>0</v>
      </c>
      <c r="F35" s="103">
        <f>IF(((E35/$F$38)*100)&gt;99,(E35/$F$38)*100,E35)</f>
        <v>0</v>
      </c>
      <c r="G35" s="100">
        <f t="shared" si="7"/>
        <v>0</v>
      </c>
      <c r="H35" s="101">
        <f t="shared" si="8"/>
        <v>0</v>
      </c>
      <c r="I35" s="85"/>
      <c r="J35" s="86">
        <f t="shared" si="6"/>
        <v>0</v>
      </c>
    </row>
    <row r="36" spans="1:10" ht="15" thickBot="1" x14ac:dyDescent="0.35">
      <c r="A36" s="69" t="s">
        <v>38</v>
      </c>
      <c r="B36" s="80" t="s">
        <v>39</v>
      </c>
      <c r="C36" s="87"/>
      <c r="D36" s="104" t="e">
        <f>AVERAGE(D5:D30)</f>
        <v>#DIV/0!</v>
      </c>
      <c r="E36" s="104">
        <f>AVERAGE(E3:E35)</f>
        <v>0</v>
      </c>
      <c r="F36" s="105">
        <f>IF(((E36/$F$38)*100)&gt;99,(E36/$F$38)*100,E36)</f>
        <v>0</v>
      </c>
      <c r="G36" s="100">
        <f t="shared" si="7"/>
        <v>0</v>
      </c>
      <c r="H36" s="101" t="e">
        <f t="shared" si="8"/>
        <v>#DIV/0!</v>
      </c>
      <c r="I36" s="85"/>
      <c r="J36" s="86" t="e">
        <f t="shared" si="6"/>
        <v>#DIV/0!</v>
      </c>
    </row>
    <row r="37" spans="1:10" ht="15" thickBot="1" x14ac:dyDescent="0.35">
      <c r="A37" s="69" t="s">
        <v>38</v>
      </c>
      <c r="B37" s="106" t="s">
        <v>40</v>
      </c>
      <c r="C37" s="107"/>
      <c r="D37" s="108" t="e">
        <f>MAX(D34:D36)</f>
        <v>#DIV/0!</v>
      </c>
      <c r="E37" s="108" t="e">
        <f>(C37+D37+MAX(E5:E30))/3</f>
        <v>#DIV/0!</v>
      </c>
      <c r="F37" s="99" t="e">
        <f>IF(((E37/$F$38)*100)&gt;99,(E37/$F$38)*100,E37)</f>
        <v>#DIV/0!</v>
      </c>
      <c r="G37" s="100">
        <f>(IF(C37=100,IF(D37&gt;80,IF(F37&gt;79,F37,0),0),0))</f>
        <v>0</v>
      </c>
      <c r="H37" s="101" t="e">
        <f t="shared" si="8"/>
        <v>#DIV/0!</v>
      </c>
      <c r="I37" s="109"/>
      <c r="J37" s="110" t="e">
        <f t="shared" si="6"/>
        <v>#DIV/0!</v>
      </c>
    </row>
    <row r="38" spans="1:10" x14ac:dyDescent="0.3">
      <c r="A38" s="69"/>
      <c r="B38" s="68"/>
      <c r="C38" s="111"/>
      <c r="D38" s="112"/>
      <c r="E38" s="68" t="s">
        <v>41</v>
      </c>
      <c r="F38" s="68">
        <v>85</v>
      </c>
      <c r="G38" s="68"/>
      <c r="H38" s="68"/>
      <c r="I38" s="68"/>
      <c r="J38" s="68"/>
    </row>
    <row r="39" spans="1:10" x14ac:dyDescent="0.3">
      <c r="A39" s="69"/>
      <c r="B39" s="68"/>
      <c r="C39" s="113"/>
      <c r="D39" s="113"/>
      <c r="E39" s="68"/>
      <c r="F39" s="68"/>
      <c r="G39" s="68"/>
      <c r="H39" s="68"/>
      <c r="I39" s="68"/>
      <c r="J39" s="68"/>
    </row>
    <row r="40" spans="1:10" x14ac:dyDescent="0.3">
      <c r="A40" s="69"/>
      <c r="B40" s="68"/>
      <c r="C40" s="113" t="s">
        <v>42</v>
      </c>
      <c r="D40" s="113">
        <f>(SUMIF(A5:A33,1,A5:A33))</f>
        <v>15</v>
      </c>
      <c r="E40" s="68"/>
      <c r="F40" s="68"/>
      <c r="G40" s="68"/>
      <c r="H40" s="68"/>
      <c r="I40" s="68"/>
      <c r="J40" s="68"/>
    </row>
    <row r="41" spans="1:10" x14ac:dyDescent="0.3">
      <c r="A41" s="69"/>
      <c r="B41" s="68"/>
      <c r="C41" s="113" t="s">
        <v>43</v>
      </c>
      <c r="D41" s="113">
        <f>(SUMIF(A5:A33,2,A5:A33)/2)</f>
        <v>9</v>
      </c>
      <c r="E41" s="68"/>
      <c r="F41" s="68"/>
      <c r="G41" s="68"/>
      <c r="H41" s="68"/>
      <c r="I41" s="68"/>
      <c r="J41" s="68"/>
    </row>
    <row r="42" spans="1:10" x14ac:dyDescent="0.3">
      <c r="A42" s="69"/>
      <c r="B42" s="68"/>
      <c r="C42" s="113" t="s">
        <v>44</v>
      </c>
      <c r="D42" s="113">
        <f>(SUMIF(A5:A37,10,A5:A37)/10)</f>
        <v>0</v>
      </c>
      <c r="E42" s="68"/>
      <c r="F42" s="68"/>
      <c r="G42" s="68"/>
      <c r="H42" s="68"/>
      <c r="I42" s="68"/>
      <c r="J42" s="68"/>
    </row>
    <row r="43" spans="1:10" x14ac:dyDescent="0.3">
      <c r="A43" s="69"/>
      <c r="B43" s="68"/>
      <c r="C43" s="113"/>
      <c r="D43" s="113"/>
      <c r="E43" s="68"/>
      <c r="F43" s="68"/>
      <c r="G43" s="68"/>
      <c r="H43" s="68"/>
      <c r="I43" s="68"/>
      <c r="J43" s="68"/>
    </row>
    <row r="44" spans="1:10" x14ac:dyDescent="0.3">
      <c r="A44" s="69"/>
      <c r="B44" s="68"/>
      <c r="C44" s="114"/>
      <c r="D44" s="114"/>
      <c r="E44" s="68"/>
      <c r="F44" s="68"/>
      <c r="G44" s="68"/>
      <c r="H44" s="68"/>
      <c r="I44" s="68"/>
      <c r="J44" s="68"/>
    </row>
    <row r="45" spans="1:10" x14ac:dyDescent="0.3">
      <c r="A45" s="69"/>
      <c r="B45" s="68"/>
      <c r="C45" s="68">
        <v>100</v>
      </c>
      <c r="D45" s="68">
        <v>130</v>
      </c>
      <c r="E45" s="68"/>
      <c r="F45" s="68"/>
      <c r="G45" s="68"/>
      <c r="H45" s="68"/>
      <c r="I45" s="68"/>
      <c r="J45" s="68"/>
    </row>
  </sheetData>
  <mergeCells count="1">
    <mergeCell ref="C1:D1"/>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CommandButton2">
          <controlPr defaultSize="0" autoLine="0" r:id="rId5">
            <anchor moveWithCells="1">
              <from>
                <xdr:col>7</xdr:col>
                <xdr:colOff>792480</xdr:colOff>
                <xdr:row>0</xdr:row>
                <xdr:rowOff>7620</xdr:rowOff>
              </from>
              <to>
                <xdr:col>9</xdr:col>
                <xdr:colOff>792480</xdr:colOff>
                <xdr:row>1</xdr:row>
                <xdr:rowOff>144780</xdr:rowOff>
              </to>
            </anchor>
          </controlPr>
        </control>
      </mc:Choice>
      <mc:Fallback>
        <control shapeId="1027" r:id="rId4" name="CommandButton2"/>
      </mc:Fallback>
    </mc:AlternateContent>
    <mc:AlternateContent xmlns:mc="http://schemas.openxmlformats.org/markup-compatibility/2006">
      <mc:Choice Requires="x14">
        <control shapeId="1028" r:id="rId6" name="CommandButton1">
          <controlPr defaultSize="0" autoLine="0" autoPict="0" r:id="rId7">
            <anchor moveWithCells="1">
              <from>
                <xdr:col>10</xdr:col>
                <xdr:colOff>419100</xdr:colOff>
                <xdr:row>0</xdr:row>
                <xdr:rowOff>45720</xdr:rowOff>
              </from>
              <to>
                <xdr:col>12</xdr:col>
                <xdr:colOff>335280</xdr:colOff>
                <xdr:row>2</xdr:row>
                <xdr:rowOff>0</xdr:rowOff>
              </to>
            </anchor>
          </controlPr>
        </control>
      </mc:Choice>
      <mc:Fallback>
        <control shapeId="1028"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11C45-8E19-4A1F-9994-4B3957D2F2CA}">
  <sheetPr codeName="Hoja106"/>
  <dimension ref="A1:J45"/>
  <sheetViews>
    <sheetView workbookViewId="0">
      <selection activeCell="A4" sqref="A4:B4"/>
    </sheetView>
  </sheetViews>
  <sheetFormatPr baseColWidth="10" defaultColWidth="11.44140625" defaultRowHeight="14.4" x14ac:dyDescent="0.3"/>
  <cols>
    <col min="1" max="1" width="9.109375" style="58" customWidth="1"/>
    <col min="2" max="2" width="49.109375" style="58" bestFit="1" customWidth="1"/>
    <col min="3" max="3" width="14.6640625" style="58" customWidth="1"/>
    <col min="4" max="16384" width="11.44140625" style="58"/>
  </cols>
  <sheetData>
    <row r="1" spans="1:10" x14ac:dyDescent="0.3">
      <c r="A1" s="119" t="s">
        <v>47</v>
      </c>
      <c r="B1" s="119"/>
      <c r="C1" s="57"/>
      <c r="D1" s="57"/>
      <c r="E1" s="57"/>
      <c r="F1" s="57"/>
      <c r="G1" s="56"/>
      <c r="H1" s="56"/>
      <c r="I1" s="56"/>
      <c r="J1" s="56"/>
    </row>
    <row r="2" spans="1:10" ht="15" thickBot="1" x14ac:dyDescent="0.35">
      <c r="A2" s="55"/>
      <c r="B2" s="59"/>
      <c r="C2" s="60"/>
      <c r="D2" s="60"/>
      <c r="E2" s="61"/>
      <c r="F2" s="62"/>
      <c r="G2" s="63"/>
      <c r="H2" s="64"/>
      <c r="J2" s="64"/>
    </row>
    <row r="3" spans="1:10" ht="29.4" thickBot="1" x14ac:dyDescent="0.35">
      <c r="A3" s="51" t="s">
        <v>46</v>
      </c>
      <c r="B3" s="6" t="s">
        <v>0</v>
      </c>
      <c r="C3" s="2" t="s">
        <v>1</v>
      </c>
      <c r="D3" s="3" t="s">
        <v>2</v>
      </c>
      <c r="E3" s="4" t="s">
        <v>3</v>
      </c>
      <c r="F3" s="5" t="s">
        <v>4</v>
      </c>
      <c r="G3" s="6" t="s">
        <v>5</v>
      </c>
      <c r="H3" s="7" t="s">
        <v>6</v>
      </c>
      <c r="I3" s="7" t="s">
        <v>7</v>
      </c>
      <c r="J3" s="8" t="s">
        <v>8</v>
      </c>
    </row>
    <row r="4" spans="1:10" ht="15" thickBot="1" x14ac:dyDescent="0.35">
      <c r="A4" s="1">
        <v>1</v>
      </c>
      <c r="B4" s="9" t="s">
        <v>9</v>
      </c>
      <c r="C4" s="10" t="e">
        <f>AVERAGE('SEM 01'!#REF!,'SEM 02'!#REF!,'SEM 03'!C4,'SEM 04'!C4,'SEM 05'!C4,'SEM 06'!C4,'SEM 07'!C4,'SEM 08'!C4,'SEM 09'!C4,'SEM 10'!C4,'SEM 11'!C4,'SEM 12'!C4,'SEM 13'!C4,'SEM 14'!C4,'SEM 15'!C4,'SEM 16'!C4,'SEM 17'!C4,'SEM 18'!C4,'SEM 19'!C4,'SEM 20'!C4,'SEM 21'!C4,'SEM 22'!C4,'SEM 23'!C4,'SEM 24'!C4,'SEM 25'!C4,'SEM 26'!C4,'SEM 27'!C4,'SEM 28'!C4,'SEM 29'!C4,'SEM 30'!C4,'SEM 31'!C4,'SEM 32'!C4,'SEM 33'!C4,'SEM 34'!C4,'SEM 35'!C4,'SEM 36'!C4,'SEM 37'!C4,'SEM 38'!C4,'SEM 39'!C4,'SEM 39'!C4,'SEM 40'!C4,'SEM 41'!C4,'SEM 42'!C4,'SEM 43'!C4,'SEM 44'!C4,'SEM 45'!C4,'SEM 46'!C4,'SEM 47'!C4,'SEM 48'!C4,'SEM 49'!C4,'SEM 50'!C4,'SEM 51'!C4,'SEM 52'!C4)</f>
        <v>#REF!</v>
      </c>
      <c r="D4" s="10" t="e">
        <f>AVERAGE('SEM 01'!#REF!,'SEM 02'!#REF!,'SEM 03'!D4,'SEM 04'!D4,'SEM 05'!D4,'SEM 06'!D4,'SEM 07'!D4,'SEM 08'!D4,'SEM 09'!D4,'SEM 10'!D4,'SEM 11'!D4,'SEM 12'!D4,'SEM 13'!D4,'SEM 14'!D4,'SEM 15'!D4,'SEM 16'!D4,'SEM 17'!D4,'SEM 18'!D4,'SEM 19'!D4,'SEM 20'!D4,'SEM 21'!D4,'SEM 22'!D4,'SEM 23'!D4,'SEM 24'!D4,'SEM 25'!D4,'SEM 26'!D4,'SEM 27'!D4,'SEM 28'!D4,'SEM 29'!D4,'SEM 30'!D4,'SEM 31'!D4,'SEM 32'!D4,'SEM 33'!D4,'SEM 34'!D4,'SEM 35'!D4,'SEM 36'!D4,'SEM 37'!D4,'SEM 38'!D4,'SEM 39'!D4,'SEM 39'!D4,'SEM 40'!D4,'SEM 41'!D4,'SEM 42'!D4,'SEM 43'!D4,'SEM 44'!D4,'SEM 45'!D4,'SEM 46'!D4,'SEM 47'!D4,'SEM 48'!D4,'SEM 49'!D4,'SEM 50'!D4,'SEM 51'!D4,'SEM 52'!D4)</f>
        <v>#REF!</v>
      </c>
      <c r="E4" s="10" t="e">
        <f>AVERAGE('SEM 01'!#REF!,'SEM 02'!#REF!,'SEM 03'!E4,'SEM 04'!E4,'SEM 05'!E4,'SEM 06'!E4,'SEM 07'!E4,'SEM 08'!E4,'SEM 09'!E4,'SEM 10'!E4,'SEM 11'!E4,'SEM 12'!E4,'SEM 13'!E4,'SEM 14'!E4,'SEM 15'!E4,'SEM 16'!E4,'SEM 17'!E4,'SEM 18'!E4,'SEM 19'!E4,'SEM 20'!E4,'SEM 21'!E4,'SEM 22'!E4,'SEM 23'!E4,'SEM 24'!E4,'SEM 25'!E4,'SEM 26'!E4,'SEM 27'!E4,'SEM 28'!E4,'SEM 29'!E4,'SEM 30'!E4,'SEM 31'!E4,'SEM 32'!E4,'SEM 33'!E4,'SEM 34'!E4,'SEM 35'!E4,'SEM 36'!E4,'SEM 37'!E4,'SEM 38'!E4,'SEM 39'!E4,'SEM 39'!E4,'SEM 40'!E4,'SEM 41'!E4,'SEM 42'!E4,'SEM 43'!E4,'SEM 44'!E4,'SEM 45'!E4,'SEM 46'!E4,'SEM 47'!E4,'SEM 48'!E4,'SEM 49'!E4,'SEM 50'!E4,'SEM 51'!E4,'SEM 52'!E4)</f>
        <v>#REF!</v>
      </c>
      <c r="F4" s="11" t="e">
        <f t="shared" ref="F4:F30" si="0">IF(((E4/$F$38)*100)&gt;99,(E4/$F$38)*100,E4)</f>
        <v>#REF!</v>
      </c>
      <c r="G4" s="12" t="e">
        <f>(IF(C4=100,IF(D4=100,IF(F4&gt;84,F4,0),0),0))</f>
        <v>#REF!</v>
      </c>
      <c r="H4" s="13" t="e">
        <f>IF(C4=100,10,0)+IF(D4=100,10,0)+(F4*0.6)+(G4*0.2)</f>
        <v>#REF!</v>
      </c>
      <c r="I4" s="14"/>
      <c r="J4" s="15" t="e">
        <f t="shared" ref="J4:J30" si="1">I4*H4/100</f>
        <v>#REF!</v>
      </c>
    </row>
    <row r="5" spans="1:10" ht="15" thickBot="1" x14ac:dyDescent="0.35">
      <c r="A5" s="1">
        <v>2</v>
      </c>
      <c r="B5" s="16" t="s">
        <v>10</v>
      </c>
      <c r="C5" s="10" t="e">
        <f>AVERAGE('SEM 01'!#REF!,'SEM 02'!#REF!,'SEM 03'!C5,'SEM 04'!C5,'SEM 05'!C5,'SEM 06'!C5,'SEM 07'!C5,'SEM 08'!C5,'SEM 09'!C5,'SEM 10'!C5,'SEM 11'!C5,'SEM 12'!C5,'SEM 13'!C5,'SEM 14'!C5,'SEM 15'!C5,'SEM 16'!C5,'SEM 17'!C5,'SEM 18'!C5,'SEM 19'!C5,'SEM 20'!C5,'SEM 21'!C5,'SEM 22'!C5,'SEM 23'!C5,'SEM 24'!C5,'SEM 25'!C5,'SEM 26'!C5,'SEM 27'!C5,'SEM 28'!C5,'SEM 29'!C5,'SEM 30'!C5,'SEM 31'!C5,'SEM 32'!C5,'SEM 33'!C5,'SEM 34'!C5,'SEM 35'!C5,'SEM 36'!C5,'SEM 37'!C5,'SEM 38'!C5,'SEM 39'!C5,'SEM 39'!C5,'SEM 40'!C5,'SEM 41'!C5,'SEM 42'!C5,'SEM 43'!C5,'SEM 44'!C5,'SEM 45'!C5,'SEM 46'!C5,'SEM 47'!C5,'SEM 48'!C5,'SEM 49'!C5,'SEM 50'!C5,'SEM 51'!C5,'SEM 52'!C5)</f>
        <v>#REF!</v>
      </c>
      <c r="D5" s="10" t="e">
        <f>AVERAGE('SEM 01'!#REF!,'SEM 02'!#REF!,'SEM 03'!D5,'SEM 04'!D5,'SEM 05'!D5,'SEM 06'!D5,'SEM 07'!D5,'SEM 08'!D5,'SEM 09'!D5,'SEM 10'!D5,'SEM 11'!D5,'SEM 12'!D5,'SEM 13'!D5,'SEM 14'!D5,'SEM 15'!D5,'SEM 16'!D5,'SEM 17'!D5,'SEM 18'!D5,'SEM 19'!D5,'SEM 20'!D5,'SEM 21'!D5,'SEM 22'!D5,'SEM 23'!D5,'SEM 24'!D5,'SEM 25'!D5,'SEM 26'!D5,'SEM 27'!D5,'SEM 28'!D5,'SEM 29'!D5,'SEM 30'!D5,'SEM 31'!D5,'SEM 32'!D5,'SEM 33'!D5,'SEM 34'!D5,'SEM 35'!D5,'SEM 36'!D5,'SEM 37'!D5,'SEM 38'!D5,'SEM 39'!D5,'SEM 39'!D5,'SEM 40'!D5,'SEM 41'!D5,'SEM 42'!D5,'SEM 43'!D5,'SEM 44'!D5,'SEM 45'!D5,'SEM 46'!D5,'SEM 47'!D5,'SEM 48'!D5,'SEM 49'!D5,'SEM 50'!D5,'SEM 51'!D5,'SEM 52'!D5)</f>
        <v>#REF!</v>
      </c>
      <c r="E5" s="10" t="e">
        <f>AVERAGE('SEM 01'!#REF!,'SEM 02'!#REF!,'SEM 03'!E5,'SEM 04'!E5,'SEM 05'!E5,'SEM 06'!E5,'SEM 07'!E5,'SEM 08'!E5,'SEM 09'!E5,'SEM 10'!E5,'SEM 11'!E5,'SEM 12'!E5,'SEM 13'!E5,'SEM 14'!E5,'SEM 15'!E5,'SEM 16'!E5,'SEM 17'!E5,'SEM 18'!E5,'SEM 19'!E5,'SEM 20'!E5,'SEM 21'!E5,'SEM 22'!E5,'SEM 23'!E5,'SEM 24'!E5,'SEM 25'!E5,'SEM 26'!E5,'SEM 27'!E5,'SEM 28'!E5,'SEM 29'!E5,'SEM 30'!E5,'SEM 31'!E5,'SEM 32'!E5,'SEM 33'!E5,'SEM 34'!E5,'SEM 35'!E5,'SEM 36'!E5,'SEM 37'!E5,'SEM 38'!E5,'SEM 39'!E5,'SEM 39'!E5,'SEM 40'!E5,'SEM 41'!E5,'SEM 42'!E5,'SEM 43'!E5,'SEM 44'!E5,'SEM 45'!E5,'SEM 46'!E5,'SEM 47'!E5,'SEM 48'!E5,'SEM 49'!E5,'SEM 50'!E5,'SEM 51'!E5,'SEM 52'!E5)</f>
        <v>#REF!</v>
      </c>
      <c r="F5" s="11" t="e">
        <f t="shared" si="0"/>
        <v>#REF!</v>
      </c>
      <c r="G5" s="12" t="e">
        <f t="shared" ref="G5:G30" si="2">(IF(C5=100,IF(D5=100,IF(F5&gt;84,F5,0),0),0))</f>
        <v>#REF!</v>
      </c>
      <c r="H5" s="20" t="e">
        <f t="shared" ref="H5:H30" si="3">IF(C5=100,10,0)+IF(D5=100,10,0)+(F5*0.6)+(G5*0.2)</f>
        <v>#REF!</v>
      </c>
      <c r="I5" s="21"/>
      <c r="J5" s="22" t="e">
        <f t="shared" si="1"/>
        <v>#REF!</v>
      </c>
    </row>
    <row r="6" spans="1:10" ht="15" thickBot="1" x14ac:dyDescent="0.35">
      <c r="A6" s="1">
        <v>2</v>
      </c>
      <c r="B6" s="16" t="s">
        <v>11</v>
      </c>
      <c r="C6" s="10" t="e">
        <f>AVERAGE('SEM 01'!#REF!,'SEM 02'!#REF!,'SEM 03'!C6,'SEM 04'!C6,'SEM 05'!C6,'SEM 06'!C6,'SEM 07'!C6,'SEM 08'!C6,'SEM 09'!C6,'SEM 10'!C6,'SEM 11'!C6,'SEM 12'!C6,'SEM 13'!C6,'SEM 14'!C6,'SEM 15'!C6,'SEM 16'!C6,'SEM 17'!C6,'SEM 18'!C6,'SEM 19'!C6,'SEM 20'!C6,'SEM 21'!C6,'SEM 22'!C6,'SEM 23'!C6,'SEM 24'!C6,'SEM 25'!C6,'SEM 26'!C6,'SEM 27'!C6,'SEM 28'!C6,'SEM 29'!C6,'SEM 30'!C6,'SEM 31'!C6,'SEM 32'!C6,'SEM 33'!C6,'SEM 34'!C6,'SEM 35'!C6,'SEM 36'!C6,'SEM 37'!C6,'SEM 38'!C6,'SEM 39'!C6,'SEM 39'!C6,'SEM 40'!C6,'SEM 41'!C6,'SEM 42'!C6,'SEM 43'!C6,'SEM 44'!C6,'SEM 45'!C6,'SEM 46'!C6,'SEM 47'!C6,'SEM 48'!C6,'SEM 49'!C6,'SEM 50'!C6,'SEM 51'!C6,'SEM 52'!C6)</f>
        <v>#REF!</v>
      </c>
      <c r="D6" s="10" t="e">
        <f>AVERAGE('SEM 01'!#REF!,'SEM 02'!#REF!,'SEM 03'!D6,'SEM 04'!D6,'SEM 05'!D6,'SEM 06'!D6,'SEM 07'!D6,'SEM 08'!D6,'SEM 09'!D6,'SEM 10'!D6,'SEM 11'!D6,'SEM 12'!D6,'SEM 13'!D6,'SEM 14'!D6,'SEM 15'!D6,'SEM 16'!D6,'SEM 17'!D6,'SEM 18'!D6,'SEM 19'!D6,'SEM 20'!D6,'SEM 21'!D6,'SEM 22'!D6,'SEM 23'!D6,'SEM 24'!D6,'SEM 25'!D6,'SEM 26'!D6,'SEM 27'!D6,'SEM 28'!D6,'SEM 29'!D6,'SEM 30'!D6,'SEM 31'!D6,'SEM 32'!D6,'SEM 33'!D6,'SEM 34'!D6,'SEM 35'!D6,'SEM 36'!D6,'SEM 37'!D6,'SEM 38'!D6,'SEM 39'!D6,'SEM 39'!D6,'SEM 40'!D6,'SEM 41'!D6,'SEM 42'!D6,'SEM 43'!D6,'SEM 44'!D6,'SEM 45'!D6,'SEM 46'!D6,'SEM 47'!D6,'SEM 48'!D6,'SEM 49'!D6,'SEM 50'!D6,'SEM 51'!D6,'SEM 52'!D6)</f>
        <v>#REF!</v>
      </c>
      <c r="E6" s="10" t="e">
        <f>AVERAGE('SEM 01'!#REF!,'SEM 02'!#REF!,'SEM 03'!E6,'SEM 04'!E6,'SEM 05'!E6,'SEM 06'!E6,'SEM 07'!E6,'SEM 08'!E6,'SEM 09'!E6,'SEM 10'!E6,'SEM 11'!E6,'SEM 12'!E6,'SEM 13'!E6,'SEM 14'!E6,'SEM 15'!E6,'SEM 16'!E6,'SEM 17'!E6,'SEM 18'!E6,'SEM 19'!E6,'SEM 20'!E6,'SEM 21'!E6,'SEM 22'!E6,'SEM 23'!E6,'SEM 24'!E6,'SEM 25'!E6,'SEM 26'!E6,'SEM 27'!E6,'SEM 28'!E6,'SEM 29'!E6,'SEM 30'!E6,'SEM 31'!E6,'SEM 32'!E6,'SEM 33'!E6,'SEM 34'!E6,'SEM 35'!E6,'SEM 36'!E6,'SEM 37'!E6,'SEM 38'!E6,'SEM 39'!E6,'SEM 39'!E6,'SEM 40'!E6,'SEM 41'!E6,'SEM 42'!E6,'SEM 43'!E6,'SEM 44'!E6,'SEM 45'!E6,'SEM 46'!E6,'SEM 47'!E6,'SEM 48'!E6,'SEM 49'!E6,'SEM 50'!E6,'SEM 51'!E6,'SEM 52'!E6)</f>
        <v>#REF!</v>
      </c>
      <c r="F6" s="11" t="e">
        <f t="shared" si="0"/>
        <v>#REF!</v>
      </c>
      <c r="G6" s="12" t="e">
        <f t="shared" si="2"/>
        <v>#REF!</v>
      </c>
      <c r="H6" s="20" t="e">
        <f t="shared" si="3"/>
        <v>#REF!</v>
      </c>
      <c r="I6" s="21"/>
      <c r="J6" s="22" t="e">
        <f t="shared" si="1"/>
        <v>#REF!</v>
      </c>
    </row>
    <row r="7" spans="1:10" ht="15" thickBot="1" x14ac:dyDescent="0.35">
      <c r="A7" s="1">
        <v>1</v>
      </c>
      <c r="B7" s="16" t="s">
        <v>12</v>
      </c>
      <c r="C7" s="10" t="e">
        <f>AVERAGE('SEM 01'!#REF!,'SEM 02'!#REF!,'SEM 03'!C7,'SEM 04'!C7,'SEM 05'!C7,'SEM 06'!C7,'SEM 07'!C7,'SEM 08'!C7,'SEM 09'!C7,'SEM 10'!C7,'SEM 11'!C7,'SEM 12'!C7,'SEM 13'!C7,'SEM 14'!C7,'SEM 15'!C7,'SEM 16'!C7,'SEM 17'!C7,'SEM 18'!C7,'SEM 19'!C7,'SEM 20'!C7,'SEM 21'!C7,'SEM 22'!C7,'SEM 23'!C7,'SEM 24'!C7,'SEM 25'!C7,'SEM 26'!C7,'SEM 27'!C7,'SEM 28'!C7,'SEM 29'!C7,'SEM 30'!C7,'SEM 31'!C7,'SEM 32'!C7,'SEM 33'!C7,'SEM 34'!C7,'SEM 35'!C7,'SEM 36'!C7,'SEM 37'!C7,'SEM 38'!C7,'SEM 39'!C7,'SEM 39'!C7,'SEM 40'!C7,'SEM 41'!C7,'SEM 42'!C7,'SEM 43'!C7,'SEM 44'!C7,'SEM 45'!C7,'SEM 46'!C7,'SEM 47'!C7,'SEM 48'!C7,'SEM 49'!C7,'SEM 50'!C7,'SEM 51'!C7,'SEM 52'!C7)</f>
        <v>#REF!</v>
      </c>
      <c r="D7" s="10" t="e">
        <f>AVERAGE('SEM 01'!#REF!,'SEM 02'!#REF!,'SEM 03'!D7,'SEM 04'!D7,'SEM 05'!D7,'SEM 06'!D7,'SEM 07'!D7,'SEM 08'!D7,'SEM 09'!D7,'SEM 10'!D7,'SEM 11'!D7,'SEM 12'!D7,'SEM 13'!D7,'SEM 14'!D7,'SEM 15'!D7,'SEM 16'!D7,'SEM 17'!D7,'SEM 18'!D7,'SEM 19'!D7,'SEM 20'!D7,'SEM 21'!D7,'SEM 22'!D7,'SEM 23'!D7,'SEM 24'!D7,'SEM 25'!D7,'SEM 26'!D7,'SEM 27'!D7,'SEM 28'!D7,'SEM 29'!D7,'SEM 30'!D7,'SEM 31'!D7,'SEM 32'!D7,'SEM 33'!D7,'SEM 34'!D7,'SEM 35'!D7,'SEM 36'!D7,'SEM 37'!D7,'SEM 38'!D7,'SEM 39'!D7,'SEM 39'!D7,'SEM 40'!D7,'SEM 41'!D7,'SEM 42'!D7,'SEM 43'!D7,'SEM 44'!D7,'SEM 45'!D7,'SEM 46'!D7,'SEM 47'!D7,'SEM 48'!D7,'SEM 49'!D7,'SEM 50'!D7,'SEM 51'!D7,'SEM 52'!D7)</f>
        <v>#REF!</v>
      </c>
      <c r="E7" s="10" t="e">
        <f>AVERAGE('SEM 01'!#REF!,'SEM 02'!#REF!,'SEM 03'!E7,'SEM 04'!E7,'SEM 05'!E7,'SEM 06'!E7,'SEM 07'!E7,'SEM 08'!E7,'SEM 09'!E7,'SEM 10'!E7,'SEM 11'!E7,'SEM 12'!E7,'SEM 13'!E7,'SEM 14'!E7,'SEM 15'!E7,'SEM 16'!E7,'SEM 17'!E7,'SEM 18'!E7,'SEM 19'!E7,'SEM 20'!E7,'SEM 21'!E7,'SEM 22'!E7,'SEM 23'!E7,'SEM 24'!E7,'SEM 25'!E7,'SEM 26'!E7,'SEM 27'!E7,'SEM 28'!E7,'SEM 29'!E7,'SEM 30'!E7,'SEM 31'!E7,'SEM 32'!E7,'SEM 33'!E7,'SEM 34'!E7,'SEM 35'!E7,'SEM 36'!E7,'SEM 37'!E7,'SEM 38'!E7,'SEM 39'!E7,'SEM 39'!E7,'SEM 40'!E7,'SEM 41'!E7,'SEM 42'!E7,'SEM 43'!E7,'SEM 44'!E7,'SEM 45'!E7,'SEM 46'!E7,'SEM 47'!E7,'SEM 48'!E7,'SEM 49'!E7,'SEM 50'!E7,'SEM 51'!E7,'SEM 52'!E7)</f>
        <v>#REF!</v>
      </c>
      <c r="F7" s="11" t="e">
        <f t="shared" si="0"/>
        <v>#REF!</v>
      </c>
      <c r="G7" s="12" t="e">
        <f t="shared" si="2"/>
        <v>#REF!</v>
      </c>
      <c r="H7" s="20" t="e">
        <f t="shared" si="3"/>
        <v>#REF!</v>
      </c>
      <c r="I7" s="21"/>
      <c r="J7" s="22" t="e">
        <f t="shared" si="1"/>
        <v>#REF!</v>
      </c>
    </row>
    <row r="8" spans="1:10" ht="15" thickBot="1" x14ac:dyDescent="0.35">
      <c r="A8" s="1">
        <v>1</v>
      </c>
      <c r="B8" s="16" t="s">
        <v>13</v>
      </c>
      <c r="C8" s="10" t="e">
        <f>AVERAGE('SEM 01'!#REF!,'SEM 02'!#REF!,'SEM 03'!C8,'SEM 04'!C8,'SEM 05'!C8,'SEM 06'!C8,'SEM 07'!C8,'SEM 08'!C8,'SEM 09'!C8,'SEM 10'!C8,'SEM 11'!C8,'SEM 12'!C8,'SEM 13'!C8,'SEM 14'!C8,'SEM 15'!C8,'SEM 16'!C8,'SEM 17'!C8,'SEM 18'!C8,'SEM 19'!C8,'SEM 20'!C8,'SEM 21'!C8,'SEM 22'!C8,'SEM 23'!C8,'SEM 24'!C8,'SEM 25'!C8,'SEM 26'!C8,'SEM 27'!C8,'SEM 28'!C8,'SEM 29'!C8,'SEM 30'!C8,'SEM 31'!C8,'SEM 32'!C8,'SEM 33'!C8,'SEM 34'!C8,'SEM 35'!C8,'SEM 36'!C8,'SEM 37'!C8,'SEM 38'!C8,'SEM 39'!C8,'SEM 39'!C8,'SEM 40'!C8,'SEM 41'!C8,'SEM 42'!C8,'SEM 43'!C8,'SEM 44'!C8,'SEM 45'!C8,'SEM 46'!C8,'SEM 47'!C8,'SEM 48'!C8,'SEM 49'!C8,'SEM 50'!C8,'SEM 51'!C8,'SEM 52'!C8)</f>
        <v>#REF!</v>
      </c>
      <c r="D8" s="10" t="e">
        <f>AVERAGE('SEM 01'!#REF!,'SEM 02'!#REF!,'SEM 03'!D8,'SEM 04'!D8,'SEM 05'!D8,'SEM 06'!D8,'SEM 07'!D8,'SEM 08'!D8,'SEM 09'!D8,'SEM 10'!D8,'SEM 11'!D8,'SEM 12'!D8,'SEM 13'!D8,'SEM 14'!D8,'SEM 15'!D8,'SEM 16'!D8,'SEM 17'!D8,'SEM 18'!D8,'SEM 19'!D8,'SEM 20'!D8,'SEM 21'!D8,'SEM 22'!D8,'SEM 23'!D8,'SEM 24'!D8,'SEM 25'!D8,'SEM 26'!D8,'SEM 27'!D8,'SEM 28'!D8,'SEM 29'!D8,'SEM 30'!D8,'SEM 31'!D8,'SEM 32'!D8,'SEM 33'!D8,'SEM 34'!D8,'SEM 35'!D8,'SEM 36'!D8,'SEM 37'!D8,'SEM 38'!D8,'SEM 39'!D8,'SEM 39'!D8,'SEM 40'!D8,'SEM 41'!D8,'SEM 42'!D8,'SEM 43'!D8,'SEM 44'!D8,'SEM 45'!D8,'SEM 46'!D8,'SEM 47'!D8,'SEM 48'!D8,'SEM 49'!D8,'SEM 50'!D8,'SEM 51'!D8,'SEM 52'!D8)</f>
        <v>#REF!</v>
      </c>
      <c r="E8" s="10" t="e">
        <f>AVERAGE('SEM 01'!#REF!,'SEM 02'!#REF!,'SEM 03'!E8,'SEM 04'!E8,'SEM 05'!E8,'SEM 06'!E8,'SEM 07'!E8,'SEM 08'!E8,'SEM 09'!E8,'SEM 10'!E8,'SEM 11'!E8,'SEM 12'!E8,'SEM 13'!E8,'SEM 14'!E8,'SEM 15'!E8,'SEM 16'!E8,'SEM 17'!E8,'SEM 18'!E8,'SEM 19'!E8,'SEM 20'!E8,'SEM 21'!E8,'SEM 22'!E8,'SEM 23'!E8,'SEM 24'!E8,'SEM 25'!E8,'SEM 26'!E8,'SEM 27'!E8,'SEM 28'!E8,'SEM 29'!E8,'SEM 30'!E8,'SEM 31'!E8,'SEM 32'!E8,'SEM 33'!E8,'SEM 34'!E8,'SEM 35'!E8,'SEM 36'!E8,'SEM 37'!E8,'SEM 38'!E8,'SEM 39'!E8,'SEM 39'!E8,'SEM 40'!E8,'SEM 41'!E8,'SEM 42'!E8,'SEM 43'!E8,'SEM 44'!E8,'SEM 45'!E8,'SEM 46'!E8,'SEM 47'!E8,'SEM 48'!E8,'SEM 49'!E8,'SEM 50'!E8,'SEM 51'!E8,'SEM 52'!E8)</f>
        <v>#REF!</v>
      </c>
      <c r="F8" s="11" t="e">
        <f t="shared" si="0"/>
        <v>#REF!</v>
      </c>
      <c r="G8" s="12" t="e">
        <f t="shared" si="2"/>
        <v>#REF!</v>
      </c>
      <c r="H8" s="20" t="e">
        <f t="shared" si="3"/>
        <v>#REF!</v>
      </c>
      <c r="I8" s="21"/>
      <c r="J8" s="22" t="e">
        <f t="shared" si="1"/>
        <v>#REF!</v>
      </c>
    </row>
    <row r="9" spans="1:10" ht="15" thickBot="1" x14ac:dyDescent="0.35">
      <c r="A9" s="1">
        <v>1</v>
      </c>
      <c r="B9" s="16" t="s">
        <v>14</v>
      </c>
      <c r="C9" s="10" t="e">
        <f>AVERAGE('SEM 01'!#REF!,'SEM 02'!#REF!,'SEM 03'!C9,'SEM 04'!C9,'SEM 05'!C9,'SEM 06'!C9,'SEM 07'!C9,'SEM 08'!C9,'SEM 09'!C9,'SEM 10'!C9,'SEM 11'!C9,'SEM 12'!C9,'SEM 13'!C9,'SEM 14'!C9,'SEM 15'!C9,'SEM 16'!C9,'SEM 17'!C9,'SEM 18'!C9,'SEM 19'!C9,'SEM 20'!C9,'SEM 21'!C9,'SEM 22'!C9,'SEM 23'!C9,'SEM 24'!C9,'SEM 25'!C9,'SEM 26'!C9,'SEM 27'!C9,'SEM 28'!C9,'SEM 29'!C9,'SEM 30'!C9,'SEM 31'!C9,'SEM 32'!C9,'SEM 33'!C9,'SEM 34'!C9,'SEM 35'!C9,'SEM 36'!C9,'SEM 37'!C9,'SEM 38'!C9,'SEM 39'!C9,'SEM 39'!C9,'SEM 40'!C9,'SEM 41'!C9,'SEM 42'!C9,'SEM 43'!C9,'SEM 44'!C9,'SEM 45'!C9,'SEM 46'!C9,'SEM 47'!C9,'SEM 48'!C9,'SEM 49'!C9,'SEM 50'!C9,'SEM 51'!C9,'SEM 52'!C9)</f>
        <v>#REF!</v>
      </c>
      <c r="D9" s="10" t="e">
        <f>AVERAGE('SEM 01'!#REF!,'SEM 02'!#REF!,'SEM 03'!D9,'SEM 04'!D9,'SEM 05'!D9,'SEM 06'!D9,'SEM 07'!D9,'SEM 08'!D9,'SEM 09'!D9,'SEM 10'!D9,'SEM 11'!D9,'SEM 12'!D9,'SEM 13'!D9,'SEM 14'!D9,'SEM 15'!D9,'SEM 16'!D9,'SEM 17'!D9,'SEM 18'!D9,'SEM 19'!D9,'SEM 20'!D9,'SEM 21'!D9,'SEM 22'!D9,'SEM 23'!D9,'SEM 24'!D9,'SEM 25'!D9,'SEM 26'!D9,'SEM 27'!D9,'SEM 28'!D9,'SEM 29'!D9,'SEM 30'!D9,'SEM 31'!D9,'SEM 32'!D9,'SEM 33'!D9,'SEM 34'!D9,'SEM 35'!D9,'SEM 36'!D9,'SEM 37'!D9,'SEM 38'!D9,'SEM 39'!D9,'SEM 39'!D9,'SEM 40'!D9,'SEM 41'!D9,'SEM 42'!D9,'SEM 43'!D9,'SEM 44'!D9,'SEM 45'!D9,'SEM 46'!D9,'SEM 47'!D9,'SEM 48'!D9,'SEM 49'!D9,'SEM 50'!D9,'SEM 51'!D9,'SEM 52'!D9)</f>
        <v>#REF!</v>
      </c>
      <c r="E9" s="10" t="e">
        <f>AVERAGE('SEM 01'!#REF!,'SEM 02'!#REF!,'SEM 03'!E9,'SEM 04'!E9,'SEM 05'!E9,'SEM 06'!E9,'SEM 07'!E9,'SEM 08'!E9,'SEM 09'!E9,'SEM 10'!E9,'SEM 11'!E9,'SEM 12'!E9,'SEM 13'!E9,'SEM 14'!E9,'SEM 15'!E9,'SEM 16'!E9,'SEM 17'!E9,'SEM 18'!E9,'SEM 19'!E9,'SEM 20'!E9,'SEM 21'!E9,'SEM 22'!E9,'SEM 23'!E9,'SEM 24'!E9,'SEM 25'!E9,'SEM 26'!E9,'SEM 27'!E9,'SEM 28'!E9,'SEM 29'!E9,'SEM 30'!E9,'SEM 31'!E9,'SEM 32'!E9,'SEM 33'!E9,'SEM 34'!E9,'SEM 35'!E9,'SEM 36'!E9,'SEM 37'!E9,'SEM 38'!E9,'SEM 39'!E9,'SEM 39'!E9,'SEM 40'!E9,'SEM 41'!E9,'SEM 42'!E9,'SEM 43'!E9,'SEM 44'!E9,'SEM 45'!E9,'SEM 46'!E9,'SEM 47'!E9,'SEM 48'!E9,'SEM 49'!E9,'SEM 50'!E9,'SEM 51'!E9,'SEM 52'!E9)</f>
        <v>#REF!</v>
      </c>
      <c r="F9" s="11" t="e">
        <f t="shared" si="0"/>
        <v>#REF!</v>
      </c>
      <c r="G9" s="12" t="e">
        <f t="shared" si="2"/>
        <v>#REF!</v>
      </c>
      <c r="H9" s="20" t="e">
        <f t="shared" si="3"/>
        <v>#REF!</v>
      </c>
      <c r="I9" s="21"/>
      <c r="J9" s="22" t="e">
        <f t="shared" si="1"/>
        <v>#REF!</v>
      </c>
    </row>
    <row r="10" spans="1:10" ht="15" thickBot="1" x14ac:dyDescent="0.35">
      <c r="A10" s="1">
        <v>1</v>
      </c>
      <c r="B10" s="16" t="s">
        <v>15</v>
      </c>
      <c r="C10" s="10" t="e">
        <f>AVERAGE('SEM 01'!#REF!,'SEM 02'!#REF!,'SEM 03'!C10,'SEM 04'!C10,'SEM 05'!C10,'SEM 06'!C10,'SEM 07'!C10,'SEM 08'!C10,'SEM 09'!C10,'SEM 10'!C10,'SEM 11'!C10,'SEM 12'!C10,'SEM 13'!C10,'SEM 14'!C10,'SEM 15'!C10,'SEM 16'!C10,'SEM 17'!C10,'SEM 18'!C10,'SEM 19'!C10,'SEM 20'!C10,'SEM 21'!C10,'SEM 22'!C10,'SEM 23'!C10,'SEM 24'!C10,'SEM 25'!C10,'SEM 26'!C10,'SEM 27'!C10,'SEM 28'!C10,'SEM 29'!C10,'SEM 30'!C10,'SEM 31'!C10,'SEM 32'!C10,'SEM 33'!C10,'SEM 34'!C10,'SEM 35'!C10,'SEM 36'!C10,'SEM 37'!C10,'SEM 38'!C10,'SEM 39'!C10,'SEM 39'!C10,'SEM 40'!C10,'SEM 41'!C10,'SEM 42'!C10,'SEM 43'!C10,'SEM 44'!C10,'SEM 45'!C10,'SEM 46'!C10,'SEM 47'!C10,'SEM 48'!C10,'SEM 49'!C10,'SEM 50'!C10,'SEM 51'!C10,'SEM 52'!C10)</f>
        <v>#REF!</v>
      </c>
      <c r="D10" s="10" t="e">
        <f>AVERAGE('SEM 01'!#REF!,'SEM 02'!#REF!,'SEM 03'!D10,'SEM 04'!D10,'SEM 05'!D10,'SEM 06'!D10,'SEM 07'!D10,'SEM 08'!D10,'SEM 09'!D10,'SEM 10'!D10,'SEM 11'!D10,'SEM 12'!D10,'SEM 13'!D10,'SEM 14'!D10,'SEM 15'!D10,'SEM 16'!D10,'SEM 17'!D10,'SEM 18'!D10,'SEM 19'!D10,'SEM 20'!D10,'SEM 21'!D10,'SEM 22'!D10,'SEM 23'!D10,'SEM 24'!D10,'SEM 25'!D10,'SEM 26'!D10,'SEM 27'!D10,'SEM 28'!D10,'SEM 29'!D10,'SEM 30'!D10,'SEM 31'!D10,'SEM 32'!D10,'SEM 33'!D10,'SEM 34'!D10,'SEM 35'!D10,'SEM 36'!D10,'SEM 37'!D10,'SEM 38'!D10,'SEM 39'!D10,'SEM 39'!D10,'SEM 40'!D10,'SEM 41'!D10,'SEM 42'!D10,'SEM 43'!D10,'SEM 44'!D10,'SEM 45'!D10,'SEM 46'!D10,'SEM 47'!D10,'SEM 48'!D10,'SEM 49'!D10,'SEM 50'!D10,'SEM 51'!D10,'SEM 52'!D10)</f>
        <v>#REF!</v>
      </c>
      <c r="E10" s="10" t="e">
        <f>AVERAGE('SEM 01'!#REF!,'SEM 02'!#REF!,'SEM 03'!E10,'SEM 04'!E10,'SEM 05'!E10,'SEM 06'!E10,'SEM 07'!E10,'SEM 08'!E10,'SEM 09'!E10,'SEM 10'!E10,'SEM 11'!E10,'SEM 12'!E10,'SEM 13'!E10,'SEM 14'!E10,'SEM 15'!E10,'SEM 16'!E10,'SEM 17'!E10,'SEM 18'!E10,'SEM 19'!E10,'SEM 20'!E10,'SEM 21'!E10,'SEM 22'!E10,'SEM 23'!E10,'SEM 24'!E10,'SEM 25'!E10,'SEM 26'!E10,'SEM 27'!E10,'SEM 28'!E10,'SEM 29'!E10,'SEM 30'!E10,'SEM 31'!E10,'SEM 32'!E10,'SEM 33'!E10,'SEM 34'!E10,'SEM 35'!E10,'SEM 36'!E10,'SEM 37'!E10,'SEM 38'!E10,'SEM 39'!E10,'SEM 39'!E10,'SEM 40'!E10,'SEM 41'!E10,'SEM 42'!E10,'SEM 43'!E10,'SEM 44'!E10,'SEM 45'!E10,'SEM 46'!E10,'SEM 47'!E10,'SEM 48'!E10,'SEM 49'!E10,'SEM 50'!E10,'SEM 51'!E10,'SEM 52'!E10)</f>
        <v>#REF!</v>
      </c>
      <c r="F10" s="11" t="e">
        <f t="shared" si="0"/>
        <v>#REF!</v>
      </c>
      <c r="G10" s="12" t="e">
        <f t="shared" si="2"/>
        <v>#REF!</v>
      </c>
      <c r="H10" s="20" t="e">
        <f t="shared" si="3"/>
        <v>#REF!</v>
      </c>
      <c r="I10" s="21"/>
      <c r="J10" s="22" t="e">
        <f t="shared" si="1"/>
        <v>#REF!</v>
      </c>
    </row>
    <row r="11" spans="1:10" ht="15" thickBot="1" x14ac:dyDescent="0.35">
      <c r="A11" s="1">
        <v>1</v>
      </c>
      <c r="B11" s="16" t="s">
        <v>16</v>
      </c>
      <c r="C11" s="10" t="e">
        <f>AVERAGE('SEM 01'!#REF!,'SEM 02'!#REF!,'SEM 03'!C11,'SEM 04'!C11,'SEM 05'!C11,'SEM 06'!C11,'SEM 07'!C11,'SEM 08'!C11,'SEM 09'!C11,'SEM 10'!C11,'SEM 11'!C11,'SEM 12'!C11,'SEM 13'!C11,'SEM 14'!C11,'SEM 15'!C11,'SEM 16'!C11,'SEM 17'!C11,'SEM 18'!C11,'SEM 19'!C11,'SEM 20'!C11,'SEM 21'!C11,'SEM 22'!C11,'SEM 23'!C11,'SEM 24'!C11,'SEM 25'!C11,'SEM 26'!C11,'SEM 27'!C11,'SEM 28'!C11,'SEM 29'!C11,'SEM 30'!C11,'SEM 31'!C11,'SEM 32'!C11,'SEM 33'!C11,'SEM 34'!C11,'SEM 35'!C11,'SEM 36'!C11,'SEM 37'!C11,'SEM 38'!C11,'SEM 39'!C11,'SEM 39'!C11,'SEM 40'!C11,'SEM 41'!C11,'SEM 42'!C11,'SEM 43'!C11,'SEM 44'!C11,'SEM 45'!C11,'SEM 46'!C11,'SEM 47'!C11,'SEM 48'!C11,'SEM 49'!C11,'SEM 50'!C11,'SEM 51'!C11,'SEM 52'!C11)</f>
        <v>#REF!</v>
      </c>
      <c r="D11" s="10" t="e">
        <f>AVERAGE('SEM 01'!#REF!,'SEM 02'!#REF!,'SEM 03'!D11,'SEM 04'!D11,'SEM 05'!D11,'SEM 06'!D11,'SEM 07'!D11,'SEM 08'!D11,'SEM 09'!D11,'SEM 10'!D11,'SEM 11'!D11,'SEM 12'!D11,'SEM 13'!D11,'SEM 14'!D11,'SEM 15'!D11,'SEM 16'!D11,'SEM 17'!D11,'SEM 18'!D11,'SEM 19'!D11,'SEM 20'!D11,'SEM 21'!D11,'SEM 22'!D11,'SEM 23'!D11,'SEM 24'!D11,'SEM 25'!D11,'SEM 26'!D11,'SEM 27'!D11,'SEM 28'!D11,'SEM 29'!D11,'SEM 30'!D11,'SEM 31'!D11,'SEM 32'!D11,'SEM 33'!D11,'SEM 34'!D11,'SEM 35'!D11,'SEM 36'!D11,'SEM 37'!D11,'SEM 38'!D11,'SEM 39'!D11,'SEM 39'!D11,'SEM 40'!D11,'SEM 41'!D11,'SEM 42'!D11,'SEM 43'!D11,'SEM 44'!D11,'SEM 45'!D11,'SEM 46'!D11,'SEM 47'!D11,'SEM 48'!D11,'SEM 49'!D11,'SEM 50'!D11,'SEM 51'!D11,'SEM 52'!D11)</f>
        <v>#REF!</v>
      </c>
      <c r="E11" s="10" t="e">
        <f>AVERAGE('SEM 01'!#REF!,'SEM 02'!#REF!,'SEM 03'!E11,'SEM 04'!E11,'SEM 05'!E11,'SEM 06'!E11,'SEM 07'!E11,'SEM 08'!E11,'SEM 09'!E11,'SEM 10'!E11,'SEM 11'!E11,'SEM 12'!E11,'SEM 13'!E11,'SEM 14'!E11,'SEM 15'!E11,'SEM 16'!E11,'SEM 17'!E11,'SEM 18'!E11,'SEM 19'!E11,'SEM 20'!E11,'SEM 21'!E11,'SEM 22'!E11,'SEM 23'!E11,'SEM 24'!E11,'SEM 25'!E11,'SEM 26'!E11,'SEM 27'!E11,'SEM 28'!E11,'SEM 29'!E11,'SEM 30'!E11,'SEM 31'!E11,'SEM 32'!E11,'SEM 33'!E11,'SEM 34'!E11,'SEM 35'!E11,'SEM 36'!E11,'SEM 37'!E11,'SEM 38'!E11,'SEM 39'!E11,'SEM 39'!E11,'SEM 40'!E11,'SEM 41'!E11,'SEM 42'!E11,'SEM 43'!E11,'SEM 44'!E11,'SEM 45'!E11,'SEM 46'!E11,'SEM 47'!E11,'SEM 48'!E11,'SEM 49'!E11,'SEM 50'!E11,'SEM 51'!E11,'SEM 52'!E11)</f>
        <v>#REF!</v>
      </c>
      <c r="F11" s="11" t="e">
        <f t="shared" si="0"/>
        <v>#REF!</v>
      </c>
      <c r="G11" s="12" t="e">
        <f t="shared" si="2"/>
        <v>#REF!</v>
      </c>
      <c r="H11" s="20" t="e">
        <f t="shared" si="3"/>
        <v>#REF!</v>
      </c>
      <c r="I11" s="21"/>
      <c r="J11" s="22" t="e">
        <f t="shared" si="1"/>
        <v>#REF!</v>
      </c>
    </row>
    <row r="12" spans="1:10" ht="15" thickBot="1" x14ac:dyDescent="0.35">
      <c r="A12" s="1">
        <v>1</v>
      </c>
      <c r="B12" s="16" t="s">
        <v>17</v>
      </c>
      <c r="C12" s="10" t="e">
        <f>AVERAGE('SEM 01'!#REF!,'SEM 02'!#REF!,'SEM 03'!C12,'SEM 04'!C12,'SEM 05'!C12,'SEM 06'!C12,'SEM 07'!C12,'SEM 08'!C12,'SEM 09'!C12,'SEM 10'!C12,'SEM 11'!C12,'SEM 12'!C12,'SEM 13'!C12,'SEM 14'!C12,'SEM 15'!C12,'SEM 16'!C12,'SEM 17'!C12,'SEM 18'!C12,'SEM 19'!C12,'SEM 20'!C12,'SEM 21'!C12,'SEM 22'!C12,'SEM 23'!C12,'SEM 24'!C12,'SEM 25'!C12,'SEM 26'!C12,'SEM 27'!C12,'SEM 28'!C12,'SEM 29'!C12,'SEM 30'!C12,'SEM 31'!C12,'SEM 32'!C12,'SEM 33'!C12,'SEM 34'!C12,'SEM 35'!C12,'SEM 36'!C12,'SEM 37'!C12,'SEM 38'!C12,'SEM 39'!C12,'SEM 39'!C12,'SEM 40'!C12,'SEM 41'!C12,'SEM 42'!C12,'SEM 43'!C12,'SEM 44'!C12,'SEM 45'!C12,'SEM 46'!C12,'SEM 47'!C12,'SEM 48'!C12,'SEM 49'!C12,'SEM 50'!C12,'SEM 51'!C12,'SEM 52'!C12)</f>
        <v>#REF!</v>
      </c>
      <c r="D12" s="10" t="e">
        <f>AVERAGE('SEM 01'!#REF!,'SEM 02'!#REF!,'SEM 03'!D12,'SEM 04'!D12,'SEM 05'!D12,'SEM 06'!D12,'SEM 07'!D12,'SEM 08'!D12,'SEM 09'!D12,'SEM 10'!D12,'SEM 11'!D12,'SEM 12'!D12,'SEM 13'!D12,'SEM 14'!D12,'SEM 15'!D12,'SEM 16'!D12,'SEM 17'!D12,'SEM 18'!D12,'SEM 19'!D12,'SEM 20'!D12,'SEM 21'!D12,'SEM 22'!D12,'SEM 23'!D12,'SEM 24'!D12,'SEM 25'!D12,'SEM 26'!D12,'SEM 27'!D12,'SEM 28'!D12,'SEM 29'!D12,'SEM 30'!D12,'SEM 31'!D12,'SEM 32'!D12,'SEM 33'!D12,'SEM 34'!D12,'SEM 35'!D12,'SEM 36'!D12,'SEM 37'!D12,'SEM 38'!D12,'SEM 39'!D12,'SEM 39'!D12,'SEM 40'!D12,'SEM 41'!D12,'SEM 42'!D12,'SEM 43'!D12,'SEM 44'!D12,'SEM 45'!D12,'SEM 46'!D12,'SEM 47'!D12,'SEM 48'!D12,'SEM 49'!D12,'SEM 50'!D12,'SEM 51'!D12,'SEM 52'!D12)</f>
        <v>#REF!</v>
      </c>
      <c r="E12" s="10" t="e">
        <f>AVERAGE('SEM 01'!#REF!,'SEM 02'!#REF!,'SEM 03'!E12,'SEM 04'!E12,'SEM 05'!E12,'SEM 06'!E12,'SEM 07'!E12,'SEM 08'!E12,'SEM 09'!E12,'SEM 10'!E12,'SEM 11'!E12,'SEM 12'!E12,'SEM 13'!E12,'SEM 14'!E12,'SEM 15'!E12,'SEM 16'!E12,'SEM 17'!E12,'SEM 18'!E12,'SEM 19'!E12,'SEM 20'!E12,'SEM 21'!E12,'SEM 22'!E12,'SEM 23'!E12,'SEM 24'!E12,'SEM 25'!E12,'SEM 26'!E12,'SEM 27'!E12,'SEM 28'!E12,'SEM 29'!E12,'SEM 30'!E12,'SEM 31'!E12,'SEM 32'!E12,'SEM 33'!E12,'SEM 34'!E12,'SEM 35'!E12,'SEM 36'!E12,'SEM 37'!E12,'SEM 38'!E12,'SEM 39'!E12,'SEM 39'!E12,'SEM 40'!E12,'SEM 41'!E12,'SEM 42'!E12,'SEM 43'!E12,'SEM 44'!E12,'SEM 45'!E12,'SEM 46'!E12,'SEM 47'!E12,'SEM 48'!E12,'SEM 49'!E12,'SEM 50'!E12,'SEM 51'!E12,'SEM 52'!E12)</f>
        <v>#REF!</v>
      </c>
      <c r="F12" s="11" t="e">
        <f t="shared" si="0"/>
        <v>#REF!</v>
      </c>
      <c r="G12" s="12" t="e">
        <f t="shared" si="2"/>
        <v>#REF!</v>
      </c>
      <c r="H12" s="20" t="e">
        <f t="shared" si="3"/>
        <v>#REF!</v>
      </c>
      <c r="I12" s="21"/>
      <c r="J12" s="22" t="e">
        <f t="shared" si="1"/>
        <v>#REF!</v>
      </c>
    </row>
    <row r="13" spans="1:10" ht="15" thickBot="1" x14ac:dyDescent="0.35">
      <c r="A13" s="1">
        <v>2</v>
      </c>
      <c r="B13" s="16" t="s">
        <v>18</v>
      </c>
      <c r="C13" s="10" t="e">
        <f>AVERAGE('SEM 01'!#REF!,'SEM 02'!#REF!,'SEM 03'!C13,'SEM 04'!C13,'SEM 05'!C13,'SEM 06'!C13,'SEM 07'!C13,'SEM 08'!C13,'SEM 09'!C13,'SEM 10'!C13,'SEM 11'!C13,'SEM 12'!C13,'SEM 13'!C13,'SEM 14'!C13,'SEM 15'!C13,'SEM 16'!C13,'SEM 17'!C13,'SEM 18'!C13,'SEM 19'!C13,'SEM 20'!C13,'SEM 21'!C13,'SEM 22'!C13,'SEM 23'!C13,'SEM 24'!C13,'SEM 25'!C13,'SEM 26'!C13,'SEM 27'!C13,'SEM 28'!C13,'SEM 29'!C13,'SEM 30'!C13,'SEM 31'!C13,'SEM 32'!C13,'SEM 33'!C13,'SEM 34'!C13,'SEM 35'!C13,'SEM 36'!C13,'SEM 37'!C13,'SEM 38'!C13,'SEM 39'!C13,'SEM 39'!C13,'SEM 40'!C13,'SEM 41'!C13,'SEM 42'!C13,'SEM 43'!C13,'SEM 44'!C13,'SEM 45'!C13,'SEM 46'!C13,'SEM 47'!C13,'SEM 48'!C13,'SEM 49'!C13,'SEM 50'!C13,'SEM 51'!C13,'SEM 52'!C13)</f>
        <v>#REF!</v>
      </c>
      <c r="D13" s="10" t="e">
        <f>AVERAGE('SEM 01'!#REF!,'SEM 02'!#REF!,'SEM 03'!D13,'SEM 04'!D13,'SEM 05'!D13,'SEM 06'!D13,'SEM 07'!D13,'SEM 08'!D13,'SEM 09'!D13,'SEM 10'!D13,'SEM 11'!D13,'SEM 12'!D13,'SEM 13'!D13,'SEM 14'!D13,'SEM 15'!D13,'SEM 16'!D13,'SEM 17'!D13,'SEM 18'!D13,'SEM 19'!D13,'SEM 20'!D13,'SEM 21'!D13,'SEM 22'!D13,'SEM 23'!D13,'SEM 24'!D13,'SEM 25'!D13,'SEM 26'!D13,'SEM 27'!D13,'SEM 28'!D13,'SEM 29'!D13,'SEM 30'!D13,'SEM 31'!D13,'SEM 32'!D13,'SEM 33'!D13,'SEM 34'!D13,'SEM 35'!D13,'SEM 36'!D13,'SEM 37'!D13,'SEM 38'!D13,'SEM 39'!D13,'SEM 39'!D13,'SEM 40'!D13,'SEM 41'!D13,'SEM 42'!D13,'SEM 43'!D13,'SEM 44'!D13,'SEM 45'!D13,'SEM 46'!D13,'SEM 47'!D13,'SEM 48'!D13,'SEM 49'!D13,'SEM 50'!D13,'SEM 51'!D13,'SEM 52'!D13)</f>
        <v>#REF!</v>
      </c>
      <c r="E13" s="10" t="e">
        <f>AVERAGE('SEM 01'!#REF!,'SEM 02'!#REF!,'SEM 03'!E13,'SEM 04'!E13,'SEM 05'!E13,'SEM 06'!E13,'SEM 07'!E13,'SEM 08'!E13,'SEM 09'!E13,'SEM 10'!E13,'SEM 11'!E13,'SEM 12'!E13,'SEM 13'!E13,'SEM 14'!E13,'SEM 15'!E13,'SEM 16'!E13,'SEM 17'!E13,'SEM 18'!E13,'SEM 19'!E13,'SEM 20'!E13,'SEM 21'!E13,'SEM 22'!E13,'SEM 23'!E13,'SEM 24'!E13,'SEM 25'!E13,'SEM 26'!E13,'SEM 27'!E13,'SEM 28'!E13,'SEM 29'!E13,'SEM 30'!E13,'SEM 31'!E13,'SEM 32'!E13,'SEM 33'!E13,'SEM 34'!E13,'SEM 35'!E13,'SEM 36'!E13,'SEM 37'!E13,'SEM 38'!E13,'SEM 39'!E13,'SEM 39'!E13,'SEM 40'!E13,'SEM 41'!E13,'SEM 42'!E13,'SEM 43'!E13,'SEM 44'!E13,'SEM 45'!E13,'SEM 46'!E13,'SEM 47'!E13,'SEM 48'!E13,'SEM 49'!E13,'SEM 50'!E13,'SEM 51'!E13,'SEM 52'!E13)</f>
        <v>#REF!</v>
      </c>
      <c r="F13" s="11" t="e">
        <f t="shared" si="0"/>
        <v>#REF!</v>
      </c>
      <c r="G13" s="12" t="e">
        <f t="shared" si="2"/>
        <v>#REF!</v>
      </c>
      <c r="H13" s="20" t="e">
        <f t="shared" si="3"/>
        <v>#REF!</v>
      </c>
      <c r="I13" s="21"/>
      <c r="J13" s="22" t="e">
        <f t="shared" si="1"/>
        <v>#REF!</v>
      </c>
    </row>
    <row r="14" spans="1:10" ht="15" thickBot="1" x14ac:dyDescent="0.35">
      <c r="A14" s="1">
        <v>1</v>
      </c>
      <c r="B14" s="16" t="s">
        <v>19</v>
      </c>
      <c r="C14" s="10" t="e">
        <f>AVERAGE('SEM 01'!#REF!,'SEM 02'!#REF!,'SEM 03'!C14,'SEM 04'!C14,'SEM 05'!C14,'SEM 06'!C14,'SEM 07'!C14,'SEM 08'!C14,'SEM 09'!C14,'SEM 10'!C14,'SEM 11'!C14,'SEM 12'!C14,'SEM 13'!C14,'SEM 14'!C14,'SEM 15'!C14,'SEM 16'!C14,'SEM 17'!C14,'SEM 18'!C14,'SEM 19'!C14,'SEM 20'!C14,'SEM 21'!C14,'SEM 22'!C14,'SEM 23'!C14,'SEM 24'!C14,'SEM 25'!C14,'SEM 26'!C14,'SEM 27'!C14,'SEM 28'!C14,'SEM 29'!C14,'SEM 30'!C14,'SEM 31'!C14,'SEM 32'!C14,'SEM 33'!C14,'SEM 34'!C14,'SEM 35'!C14,'SEM 36'!C14,'SEM 37'!C14,'SEM 38'!C14,'SEM 39'!C14,'SEM 39'!C14,'SEM 40'!C14,'SEM 41'!C14,'SEM 42'!C14,'SEM 43'!C14,'SEM 44'!C14,'SEM 45'!C14,'SEM 46'!C14,'SEM 47'!C14,'SEM 48'!C14,'SEM 49'!C14,'SEM 50'!C14,'SEM 51'!C14,'SEM 52'!C14)</f>
        <v>#REF!</v>
      </c>
      <c r="D14" s="10" t="e">
        <f>AVERAGE('SEM 01'!#REF!,'SEM 02'!#REF!,'SEM 03'!D14,'SEM 04'!D14,'SEM 05'!D14,'SEM 06'!D14,'SEM 07'!D14,'SEM 08'!D14,'SEM 09'!D14,'SEM 10'!D14,'SEM 11'!D14,'SEM 12'!D14,'SEM 13'!D14,'SEM 14'!D14,'SEM 15'!D14,'SEM 16'!D14,'SEM 17'!D14,'SEM 18'!D14,'SEM 19'!D14,'SEM 20'!D14,'SEM 21'!D14,'SEM 22'!D14,'SEM 23'!D14,'SEM 24'!D14,'SEM 25'!D14,'SEM 26'!D14,'SEM 27'!D14,'SEM 28'!D14,'SEM 29'!D14,'SEM 30'!D14,'SEM 31'!D14,'SEM 32'!D14,'SEM 33'!D14,'SEM 34'!D14,'SEM 35'!D14,'SEM 36'!D14,'SEM 37'!D14,'SEM 38'!D14,'SEM 39'!D14,'SEM 39'!D14,'SEM 40'!D14,'SEM 41'!D14,'SEM 42'!D14,'SEM 43'!D14,'SEM 44'!D14,'SEM 45'!D14,'SEM 46'!D14,'SEM 47'!D14,'SEM 48'!D14,'SEM 49'!D14,'SEM 50'!D14,'SEM 51'!D14,'SEM 52'!D14)</f>
        <v>#REF!</v>
      </c>
      <c r="E14" s="10" t="e">
        <f>AVERAGE('SEM 01'!#REF!,'SEM 02'!#REF!,'SEM 03'!E14,'SEM 04'!E14,'SEM 05'!E14,'SEM 06'!E14,'SEM 07'!E14,'SEM 08'!E14,'SEM 09'!E14,'SEM 10'!E14,'SEM 11'!E14,'SEM 12'!E14,'SEM 13'!E14,'SEM 14'!E14,'SEM 15'!E14,'SEM 16'!E14,'SEM 17'!E14,'SEM 18'!E14,'SEM 19'!E14,'SEM 20'!E14,'SEM 21'!E14,'SEM 22'!E14,'SEM 23'!E14,'SEM 24'!E14,'SEM 25'!E14,'SEM 26'!E14,'SEM 27'!E14,'SEM 28'!E14,'SEM 29'!E14,'SEM 30'!E14,'SEM 31'!E14,'SEM 32'!E14,'SEM 33'!E14,'SEM 34'!E14,'SEM 35'!E14,'SEM 36'!E14,'SEM 37'!E14,'SEM 38'!E14,'SEM 39'!E14,'SEM 39'!E14,'SEM 40'!E14,'SEM 41'!E14,'SEM 42'!E14,'SEM 43'!E14,'SEM 44'!E14,'SEM 45'!E14,'SEM 46'!E14,'SEM 47'!E14,'SEM 48'!E14,'SEM 49'!E14,'SEM 50'!E14,'SEM 51'!E14,'SEM 52'!E14)</f>
        <v>#REF!</v>
      </c>
      <c r="F14" s="11" t="e">
        <f t="shared" si="0"/>
        <v>#REF!</v>
      </c>
      <c r="G14" s="12" t="e">
        <f t="shared" si="2"/>
        <v>#REF!</v>
      </c>
      <c r="H14" s="20" t="e">
        <f t="shared" si="3"/>
        <v>#REF!</v>
      </c>
      <c r="I14" s="21"/>
      <c r="J14" s="22" t="e">
        <f t="shared" si="1"/>
        <v>#REF!</v>
      </c>
    </row>
    <row r="15" spans="1:10" ht="15" thickBot="1" x14ac:dyDescent="0.35">
      <c r="A15" s="1">
        <v>2</v>
      </c>
      <c r="B15" s="16" t="s">
        <v>20</v>
      </c>
      <c r="C15" s="10" t="e">
        <f>AVERAGE('SEM 01'!#REF!,'SEM 02'!#REF!,'SEM 03'!C15,'SEM 04'!C15,'SEM 05'!C15,'SEM 06'!C15,'SEM 07'!C15,'SEM 08'!C15,'SEM 09'!C15,'SEM 10'!C15,'SEM 11'!C15,'SEM 12'!C15,'SEM 13'!C15,'SEM 14'!C15,'SEM 15'!C15,'SEM 16'!C15,'SEM 17'!C15,'SEM 18'!C15,'SEM 19'!C15,'SEM 20'!C15,'SEM 21'!C15,'SEM 22'!C15,'SEM 23'!C15,'SEM 24'!C15,'SEM 25'!C15,'SEM 26'!C15,'SEM 27'!C15,'SEM 28'!C15,'SEM 29'!C15,'SEM 30'!C15,'SEM 31'!C15,'SEM 32'!C15,'SEM 33'!C15,'SEM 34'!C15,'SEM 35'!C15,'SEM 36'!C15,'SEM 37'!C15,'SEM 38'!C15,'SEM 39'!C15,'SEM 39'!C15,'SEM 40'!C15,'SEM 41'!C15,'SEM 42'!C15,'SEM 43'!C15,'SEM 44'!C15,'SEM 45'!C15,'SEM 46'!C15,'SEM 47'!C15,'SEM 48'!C15,'SEM 49'!C15,'SEM 50'!C15,'SEM 51'!C15,'SEM 52'!C15)</f>
        <v>#REF!</v>
      </c>
      <c r="D15" s="10" t="e">
        <f>AVERAGE('SEM 01'!#REF!,'SEM 02'!#REF!,'SEM 03'!D15,'SEM 04'!D15,'SEM 05'!D15,'SEM 06'!D15,'SEM 07'!D15,'SEM 08'!D15,'SEM 09'!D15,'SEM 10'!D15,'SEM 11'!D15,'SEM 12'!D15,'SEM 13'!D15,'SEM 14'!D15,'SEM 15'!D15,'SEM 16'!D15,'SEM 17'!D15,'SEM 18'!D15,'SEM 19'!D15,'SEM 20'!D15,'SEM 21'!D15,'SEM 22'!D15,'SEM 23'!D15,'SEM 24'!D15,'SEM 25'!D15,'SEM 26'!D15,'SEM 27'!D15,'SEM 28'!D15,'SEM 29'!D15,'SEM 30'!D15,'SEM 31'!D15,'SEM 32'!D15,'SEM 33'!D15,'SEM 34'!D15,'SEM 35'!D15,'SEM 36'!D15,'SEM 37'!D15,'SEM 38'!D15,'SEM 39'!D15,'SEM 39'!D15,'SEM 40'!D15,'SEM 41'!D15,'SEM 42'!D15,'SEM 43'!D15,'SEM 44'!D15,'SEM 45'!D15,'SEM 46'!D15,'SEM 47'!D15,'SEM 48'!D15,'SEM 49'!D15,'SEM 50'!D15,'SEM 51'!D15,'SEM 52'!D15)</f>
        <v>#REF!</v>
      </c>
      <c r="E15" s="10" t="e">
        <f>AVERAGE('SEM 01'!#REF!,'SEM 02'!#REF!,'SEM 03'!E15,'SEM 04'!E15,'SEM 05'!E15,'SEM 06'!E15,'SEM 07'!E15,'SEM 08'!E15,'SEM 09'!E15,'SEM 10'!E15,'SEM 11'!E15,'SEM 12'!E15,'SEM 13'!E15,'SEM 14'!E15,'SEM 15'!E15,'SEM 16'!E15,'SEM 17'!E15,'SEM 18'!E15,'SEM 19'!E15,'SEM 20'!E15,'SEM 21'!E15,'SEM 22'!E15,'SEM 23'!E15,'SEM 24'!E15,'SEM 25'!E15,'SEM 26'!E15,'SEM 27'!E15,'SEM 28'!E15,'SEM 29'!E15,'SEM 30'!E15,'SEM 31'!E15,'SEM 32'!E15,'SEM 33'!E15,'SEM 34'!E15,'SEM 35'!E15,'SEM 36'!E15,'SEM 37'!E15,'SEM 38'!E15,'SEM 39'!E15,'SEM 39'!E15,'SEM 40'!E15,'SEM 41'!E15,'SEM 42'!E15,'SEM 43'!E15,'SEM 44'!E15,'SEM 45'!E15,'SEM 46'!E15,'SEM 47'!E15,'SEM 48'!E15,'SEM 49'!E15,'SEM 50'!E15,'SEM 51'!E15,'SEM 52'!E15)</f>
        <v>#REF!</v>
      </c>
      <c r="F15" s="11" t="e">
        <f t="shared" si="0"/>
        <v>#REF!</v>
      </c>
      <c r="G15" s="12" t="e">
        <f t="shared" si="2"/>
        <v>#REF!</v>
      </c>
      <c r="H15" s="20" t="e">
        <f t="shared" si="3"/>
        <v>#REF!</v>
      </c>
      <c r="I15" s="21"/>
      <c r="J15" s="22" t="e">
        <f t="shared" si="1"/>
        <v>#REF!</v>
      </c>
    </row>
    <row r="16" spans="1:10" ht="15" thickBot="1" x14ac:dyDescent="0.35">
      <c r="A16" s="1">
        <v>2</v>
      </c>
      <c r="B16" s="16" t="s">
        <v>21</v>
      </c>
      <c r="C16" s="10" t="e">
        <f>AVERAGE('SEM 01'!#REF!,'SEM 02'!#REF!,'SEM 03'!C16,'SEM 04'!C16,'SEM 05'!C16,'SEM 06'!C16,'SEM 07'!C16,'SEM 08'!C16,'SEM 09'!C16,'SEM 10'!C16,'SEM 11'!C16,'SEM 12'!C16,'SEM 13'!C16,'SEM 14'!C16,'SEM 15'!C16,'SEM 16'!C16,'SEM 17'!C16,'SEM 18'!C16,'SEM 19'!C16,'SEM 20'!C16,'SEM 21'!C16,'SEM 22'!C16,'SEM 23'!C16,'SEM 24'!C16,'SEM 25'!C16,'SEM 26'!C16,'SEM 27'!C16,'SEM 28'!C16,'SEM 29'!C16,'SEM 30'!C16,'SEM 31'!C16,'SEM 32'!C16,'SEM 33'!C16,'SEM 34'!C16,'SEM 35'!C16,'SEM 36'!C16,'SEM 37'!C16,'SEM 38'!C16,'SEM 39'!C16,'SEM 39'!C16,'SEM 40'!C16,'SEM 41'!C16,'SEM 42'!C16,'SEM 43'!C16,'SEM 44'!C16,'SEM 45'!C16,'SEM 46'!C16,'SEM 47'!C16,'SEM 48'!C16,'SEM 49'!C16,'SEM 50'!C16,'SEM 51'!C16,'SEM 52'!C16)</f>
        <v>#REF!</v>
      </c>
      <c r="D16" s="10" t="e">
        <f>AVERAGE('SEM 01'!#REF!,'SEM 02'!#REF!,'SEM 03'!D16,'SEM 04'!D16,'SEM 05'!D16,'SEM 06'!D16,'SEM 07'!D16,'SEM 08'!D16,'SEM 09'!D16,'SEM 10'!D16,'SEM 11'!D16,'SEM 12'!D16,'SEM 13'!D16,'SEM 14'!D16,'SEM 15'!D16,'SEM 16'!D16,'SEM 17'!D16,'SEM 18'!D16,'SEM 19'!D16,'SEM 20'!D16,'SEM 21'!D16,'SEM 22'!D16,'SEM 23'!D16,'SEM 24'!D16,'SEM 25'!D16,'SEM 26'!D16,'SEM 27'!D16,'SEM 28'!D16,'SEM 29'!D16,'SEM 30'!D16,'SEM 31'!D16,'SEM 32'!D16,'SEM 33'!D16,'SEM 34'!D16,'SEM 35'!D16,'SEM 36'!D16,'SEM 37'!D16,'SEM 38'!D16,'SEM 39'!D16,'SEM 39'!D16,'SEM 40'!D16,'SEM 41'!D16,'SEM 42'!D16,'SEM 43'!D16,'SEM 44'!D16,'SEM 45'!D16,'SEM 46'!D16,'SEM 47'!D16,'SEM 48'!D16,'SEM 49'!D16,'SEM 50'!D16,'SEM 51'!D16,'SEM 52'!D16)</f>
        <v>#REF!</v>
      </c>
      <c r="E16" s="10" t="e">
        <f>AVERAGE('SEM 01'!#REF!,'SEM 02'!#REF!,'SEM 03'!E16,'SEM 04'!E16,'SEM 05'!E16,'SEM 06'!E16,'SEM 07'!E16,'SEM 08'!E16,'SEM 09'!E16,'SEM 10'!E16,'SEM 11'!E16,'SEM 12'!E16,'SEM 13'!E16,'SEM 14'!E16,'SEM 15'!E16,'SEM 16'!E16,'SEM 17'!E16,'SEM 18'!E16,'SEM 19'!E16,'SEM 20'!E16,'SEM 21'!E16,'SEM 22'!E16,'SEM 23'!E16,'SEM 24'!E16,'SEM 25'!E16,'SEM 26'!E16,'SEM 27'!E16,'SEM 28'!E16,'SEM 29'!E16,'SEM 30'!E16,'SEM 31'!E16,'SEM 32'!E16,'SEM 33'!E16,'SEM 34'!E16,'SEM 35'!E16,'SEM 36'!E16,'SEM 37'!E16,'SEM 38'!E16,'SEM 39'!E16,'SEM 39'!E16,'SEM 40'!E16,'SEM 41'!E16,'SEM 42'!E16,'SEM 43'!E16,'SEM 44'!E16,'SEM 45'!E16,'SEM 46'!E16,'SEM 47'!E16,'SEM 48'!E16,'SEM 49'!E16,'SEM 50'!E16,'SEM 51'!E16,'SEM 52'!E16)</f>
        <v>#REF!</v>
      </c>
      <c r="F16" s="11" t="e">
        <f t="shared" si="0"/>
        <v>#REF!</v>
      </c>
      <c r="G16" s="12" t="e">
        <f t="shared" si="2"/>
        <v>#REF!</v>
      </c>
      <c r="H16" s="20" t="e">
        <f t="shared" si="3"/>
        <v>#REF!</v>
      </c>
      <c r="I16" s="21"/>
      <c r="J16" s="22" t="e">
        <f t="shared" si="1"/>
        <v>#REF!</v>
      </c>
    </row>
    <row r="17" spans="1:10" ht="15" thickBot="1" x14ac:dyDescent="0.35">
      <c r="A17" s="1">
        <v>2</v>
      </c>
      <c r="B17" s="16" t="s">
        <v>22</v>
      </c>
      <c r="C17" s="10" t="e">
        <f>AVERAGE('SEM 01'!#REF!,'SEM 02'!#REF!,'SEM 03'!C17,'SEM 04'!C17,'SEM 05'!C17,'SEM 06'!C17,'SEM 07'!C17,'SEM 08'!C17,'SEM 09'!C17,'SEM 10'!C17,'SEM 11'!C17,'SEM 12'!C17,'SEM 13'!C17,'SEM 14'!C17,'SEM 15'!C17,'SEM 16'!C17,'SEM 17'!C17,'SEM 18'!C17,'SEM 19'!C17,'SEM 20'!C17,'SEM 21'!C17,'SEM 22'!C17,'SEM 23'!C17,'SEM 24'!C17,'SEM 25'!C17,'SEM 26'!C17,'SEM 27'!C17,'SEM 28'!C17,'SEM 29'!C17,'SEM 30'!C17,'SEM 31'!C17,'SEM 32'!C17,'SEM 33'!C17,'SEM 34'!C17,'SEM 35'!C17,'SEM 36'!C17,'SEM 37'!C17,'SEM 38'!C17,'SEM 39'!C17,'SEM 39'!C17,'SEM 40'!C17,'SEM 41'!C17,'SEM 42'!C17,'SEM 43'!C17,'SEM 44'!C17,'SEM 45'!C17,'SEM 46'!C17,'SEM 47'!C17,'SEM 48'!C17,'SEM 49'!C17,'SEM 50'!C17,'SEM 51'!C17,'SEM 52'!C17)</f>
        <v>#REF!</v>
      </c>
      <c r="D17" s="10" t="e">
        <f>AVERAGE('SEM 01'!#REF!,'SEM 02'!#REF!,'SEM 03'!D17,'SEM 04'!D17,'SEM 05'!D17,'SEM 06'!D17,'SEM 07'!D17,'SEM 08'!D17,'SEM 09'!D17,'SEM 10'!D17,'SEM 11'!D17,'SEM 12'!D17,'SEM 13'!D17,'SEM 14'!D17,'SEM 15'!D17,'SEM 16'!D17,'SEM 17'!D17,'SEM 18'!D17,'SEM 19'!D17,'SEM 20'!D17,'SEM 21'!D17,'SEM 22'!D17,'SEM 23'!D17,'SEM 24'!D17,'SEM 25'!D17,'SEM 26'!D17,'SEM 27'!D17,'SEM 28'!D17,'SEM 29'!D17,'SEM 30'!D17,'SEM 31'!D17,'SEM 32'!D17,'SEM 33'!D17,'SEM 34'!D17,'SEM 35'!D17,'SEM 36'!D17,'SEM 37'!D17,'SEM 38'!D17,'SEM 39'!D17,'SEM 39'!D17,'SEM 40'!D17,'SEM 41'!D17,'SEM 42'!D17,'SEM 43'!D17,'SEM 44'!D17,'SEM 45'!D17,'SEM 46'!D17,'SEM 47'!D17,'SEM 48'!D17,'SEM 49'!D17,'SEM 50'!D17,'SEM 51'!D17,'SEM 52'!D17)</f>
        <v>#REF!</v>
      </c>
      <c r="E17" s="10" t="e">
        <f>AVERAGE('SEM 01'!#REF!,'SEM 02'!#REF!,'SEM 03'!E17,'SEM 04'!E17,'SEM 05'!E17,'SEM 06'!E17,'SEM 07'!E17,'SEM 08'!E17,'SEM 09'!E17,'SEM 10'!E17,'SEM 11'!E17,'SEM 12'!E17,'SEM 13'!E17,'SEM 14'!E17,'SEM 15'!E17,'SEM 16'!E17,'SEM 17'!E17,'SEM 18'!E17,'SEM 19'!E17,'SEM 20'!E17,'SEM 21'!E17,'SEM 22'!E17,'SEM 23'!E17,'SEM 24'!E17,'SEM 25'!E17,'SEM 26'!E17,'SEM 27'!E17,'SEM 28'!E17,'SEM 29'!E17,'SEM 30'!E17,'SEM 31'!E17,'SEM 32'!E17,'SEM 33'!E17,'SEM 34'!E17,'SEM 35'!E17,'SEM 36'!E17,'SEM 37'!E17,'SEM 38'!E17,'SEM 39'!E17,'SEM 39'!E17,'SEM 40'!E17,'SEM 41'!E17,'SEM 42'!E17,'SEM 43'!E17,'SEM 44'!E17,'SEM 45'!E17,'SEM 46'!E17,'SEM 47'!E17,'SEM 48'!E17,'SEM 49'!E17,'SEM 50'!E17,'SEM 51'!E17,'SEM 52'!E17)</f>
        <v>#REF!</v>
      </c>
      <c r="F17" s="11" t="e">
        <f t="shared" si="0"/>
        <v>#REF!</v>
      </c>
      <c r="G17" s="12" t="e">
        <f t="shared" si="2"/>
        <v>#REF!</v>
      </c>
      <c r="H17" s="20" t="e">
        <f t="shared" si="3"/>
        <v>#REF!</v>
      </c>
      <c r="I17" s="21"/>
      <c r="J17" s="22" t="e">
        <f t="shared" si="1"/>
        <v>#REF!</v>
      </c>
    </row>
    <row r="18" spans="1:10" ht="15" thickBot="1" x14ac:dyDescent="0.35">
      <c r="A18" s="1">
        <v>1</v>
      </c>
      <c r="B18" s="16" t="s">
        <v>23</v>
      </c>
      <c r="C18" s="10" t="e">
        <f>AVERAGE('SEM 01'!#REF!,'SEM 02'!#REF!,'SEM 03'!C18,'SEM 04'!C18,'SEM 05'!C18,'SEM 06'!C18,'SEM 07'!C18,'SEM 08'!C18,'SEM 09'!C18,'SEM 10'!C18,'SEM 11'!C18,'SEM 12'!C18,'SEM 13'!C18,'SEM 14'!C18,'SEM 15'!C18,'SEM 16'!C18,'SEM 17'!C18,'SEM 18'!C18,'SEM 19'!C18,'SEM 20'!C18,'SEM 21'!C18,'SEM 22'!C18,'SEM 23'!C18,'SEM 24'!C18,'SEM 25'!C18,'SEM 26'!C18,'SEM 27'!C18,'SEM 28'!C18,'SEM 29'!C18,'SEM 30'!C18,'SEM 31'!C18,'SEM 32'!C18,'SEM 33'!C18,'SEM 34'!C18,'SEM 35'!C18,'SEM 36'!C18,'SEM 37'!C18,'SEM 38'!C18,'SEM 39'!C18,'SEM 39'!C18,'SEM 40'!C18,'SEM 41'!C18,'SEM 42'!C18,'SEM 43'!C18,'SEM 44'!C18,'SEM 45'!C18,'SEM 46'!C18,'SEM 47'!C18,'SEM 48'!C18,'SEM 49'!C18,'SEM 50'!C18,'SEM 51'!C18,'SEM 52'!C18)</f>
        <v>#REF!</v>
      </c>
      <c r="D18" s="10" t="e">
        <f>AVERAGE('SEM 01'!#REF!,'SEM 02'!#REF!,'SEM 03'!D18,'SEM 04'!D18,'SEM 05'!D18,'SEM 06'!D18,'SEM 07'!D18,'SEM 08'!D18,'SEM 09'!D18,'SEM 10'!D18,'SEM 11'!D18,'SEM 12'!D18,'SEM 13'!D18,'SEM 14'!D18,'SEM 15'!D18,'SEM 16'!D18,'SEM 17'!D18,'SEM 18'!D18,'SEM 19'!D18,'SEM 20'!D18,'SEM 21'!D18,'SEM 22'!D18,'SEM 23'!D18,'SEM 24'!D18,'SEM 25'!D18,'SEM 26'!D18,'SEM 27'!D18,'SEM 28'!D18,'SEM 29'!D18,'SEM 30'!D18,'SEM 31'!D18,'SEM 32'!D18,'SEM 33'!D18,'SEM 34'!D18,'SEM 35'!D18,'SEM 36'!D18,'SEM 37'!D18,'SEM 38'!D18,'SEM 39'!D18,'SEM 39'!D18,'SEM 40'!D18,'SEM 41'!D18,'SEM 42'!D18,'SEM 43'!D18,'SEM 44'!D18,'SEM 45'!D18,'SEM 46'!D18,'SEM 47'!D18,'SEM 48'!D18,'SEM 49'!D18,'SEM 50'!D18,'SEM 51'!D18,'SEM 52'!D18)</f>
        <v>#REF!</v>
      </c>
      <c r="E18" s="10" t="e">
        <f>AVERAGE('SEM 01'!#REF!,'SEM 02'!#REF!,'SEM 03'!E18,'SEM 04'!E18,'SEM 05'!E18,'SEM 06'!E18,'SEM 07'!E18,'SEM 08'!E18,'SEM 09'!E18,'SEM 10'!E18,'SEM 11'!E18,'SEM 12'!E18,'SEM 13'!E18,'SEM 14'!E18,'SEM 15'!E18,'SEM 16'!E18,'SEM 17'!E18,'SEM 18'!E18,'SEM 19'!E18,'SEM 20'!E18,'SEM 21'!E18,'SEM 22'!E18,'SEM 23'!E18,'SEM 24'!E18,'SEM 25'!E18,'SEM 26'!E18,'SEM 27'!E18,'SEM 28'!E18,'SEM 29'!E18,'SEM 30'!E18,'SEM 31'!E18,'SEM 32'!E18,'SEM 33'!E18,'SEM 34'!E18,'SEM 35'!E18,'SEM 36'!E18,'SEM 37'!E18,'SEM 38'!E18,'SEM 39'!E18,'SEM 39'!E18,'SEM 40'!E18,'SEM 41'!E18,'SEM 42'!E18,'SEM 43'!E18,'SEM 44'!E18,'SEM 45'!E18,'SEM 46'!E18,'SEM 47'!E18,'SEM 48'!E18,'SEM 49'!E18,'SEM 50'!E18,'SEM 51'!E18,'SEM 52'!E18)</f>
        <v>#REF!</v>
      </c>
      <c r="F18" s="11" t="e">
        <f t="shared" si="0"/>
        <v>#REF!</v>
      </c>
      <c r="G18" s="12" t="e">
        <f t="shared" si="2"/>
        <v>#REF!</v>
      </c>
      <c r="H18" s="20" t="e">
        <f t="shared" si="3"/>
        <v>#REF!</v>
      </c>
      <c r="I18" s="21"/>
      <c r="J18" s="22" t="e">
        <f t="shared" si="1"/>
        <v>#REF!</v>
      </c>
    </row>
    <row r="19" spans="1:10" ht="15" thickBot="1" x14ac:dyDescent="0.35">
      <c r="A19" s="1">
        <v>1</v>
      </c>
      <c r="B19" s="16" t="s">
        <v>24</v>
      </c>
      <c r="C19" s="10" t="e">
        <f>AVERAGE('SEM 01'!#REF!,'SEM 02'!#REF!,'SEM 03'!C19,'SEM 04'!C19,'SEM 05'!C19,'SEM 06'!C19,'SEM 07'!C19,'SEM 08'!C19,'SEM 09'!C19,'SEM 10'!C19,'SEM 11'!C19,'SEM 12'!C19,'SEM 13'!C19,'SEM 14'!C19,'SEM 15'!C19,'SEM 16'!C19,'SEM 17'!C19,'SEM 18'!C19,'SEM 19'!C19,'SEM 20'!C19,'SEM 21'!C19,'SEM 22'!C19,'SEM 23'!C19,'SEM 24'!C19,'SEM 25'!C19,'SEM 26'!C19,'SEM 27'!C19,'SEM 28'!C19,'SEM 29'!C19,'SEM 30'!C19,'SEM 31'!C19,'SEM 32'!C19,'SEM 33'!C19,'SEM 34'!C19,'SEM 35'!C19,'SEM 36'!C19,'SEM 37'!C19,'SEM 38'!C19,'SEM 39'!C19,'SEM 39'!C19,'SEM 40'!C19,'SEM 41'!C19,'SEM 42'!C19,'SEM 43'!C19,'SEM 44'!C19,'SEM 45'!C19,'SEM 46'!C19,'SEM 47'!C19,'SEM 48'!C19,'SEM 49'!C19,'SEM 50'!C19,'SEM 51'!C19,'SEM 52'!C19)</f>
        <v>#REF!</v>
      </c>
      <c r="D19" s="10" t="e">
        <f>AVERAGE('SEM 01'!#REF!,'SEM 02'!#REF!,'SEM 03'!D19,'SEM 04'!D19,'SEM 05'!D19,'SEM 06'!D19,'SEM 07'!D19,'SEM 08'!D19,'SEM 09'!D19,'SEM 10'!D19,'SEM 11'!D19,'SEM 12'!D19,'SEM 13'!D19,'SEM 14'!D19,'SEM 15'!D19,'SEM 16'!D19,'SEM 17'!D19,'SEM 18'!D19,'SEM 19'!D19,'SEM 20'!D19,'SEM 21'!D19,'SEM 22'!D19,'SEM 23'!D19,'SEM 24'!D19,'SEM 25'!D19,'SEM 26'!D19,'SEM 27'!D19,'SEM 28'!D19,'SEM 29'!D19,'SEM 30'!D19,'SEM 31'!D19,'SEM 32'!D19,'SEM 33'!D19,'SEM 34'!D19,'SEM 35'!D19,'SEM 36'!D19,'SEM 37'!D19,'SEM 38'!D19,'SEM 39'!D19,'SEM 39'!D19,'SEM 40'!D19,'SEM 41'!D19,'SEM 42'!D19,'SEM 43'!D19,'SEM 44'!D19,'SEM 45'!D19,'SEM 46'!D19,'SEM 47'!D19,'SEM 48'!D19,'SEM 49'!D19,'SEM 50'!D19,'SEM 51'!D19,'SEM 52'!D19)</f>
        <v>#REF!</v>
      </c>
      <c r="E19" s="10" t="e">
        <f>AVERAGE('SEM 01'!#REF!,'SEM 02'!#REF!,'SEM 03'!E19,'SEM 04'!E19,'SEM 05'!E19,'SEM 06'!E19,'SEM 07'!E19,'SEM 08'!E19,'SEM 09'!E19,'SEM 10'!E19,'SEM 11'!E19,'SEM 12'!E19,'SEM 13'!E19,'SEM 14'!E19,'SEM 15'!E19,'SEM 16'!E19,'SEM 17'!E19,'SEM 18'!E19,'SEM 19'!E19,'SEM 20'!E19,'SEM 21'!E19,'SEM 22'!E19,'SEM 23'!E19,'SEM 24'!E19,'SEM 25'!E19,'SEM 26'!E19,'SEM 27'!E19,'SEM 28'!E19,'SEM 29'!E19,'SEM 30'!E19,'SEM 31'!E19,'SEM 32'!E19,'SEM 33'!E19,'SEM 34'!E19,'SEM 35'!E19,'SEM 36'!E19,'SEM 37'!E19,'SEM 38'!E19,'SEM 39'!E19,'SEM 39'!E19,'SEM 40'!E19,'SEM 41'!E19,'SEM 42'!E19,'SEM 43'!E19,'SEM 44'!E19,'SEM 45'!E19,'SEM 46'!E19,'SEM 47'!E19,'SEM 48'!E19,'SEM 49'!E19,'SEM 50'!E19,'SEM 51'!E19,'SEM 52'!E19)</f>
        <v>#REF!</v>
      </c>
      <c r="F19" s="11" t="e">
        <f t="shared" si="0"/>
        <v>#REF!</v>
      </c>
      <c r="G19" s="12" t="e">
        <f t="shared" si="2"/>
        <v>#REF!</v>
      </c>
      <c r="H19" s="20" t="e">
        <f t="shared" si="3"/>
        <v>#REF!</v>
      </c>
      <c r="I19" s="21"/>
      <c r="J19" s="22" t="e">
        <f t="shared" si="1"/>
        <v>#REF!</v>
      </c>
    </row>
    <row r="20" spans="1:10" ht="15" thickBot="1" x14ac:dyDescent="0.35">
      <c r="A20" s="1">
        <v>1</v>
      </c>
      <c r="B20" s="16" t="s">
        <v>25</v>
      </c>
      <c r="C20" s="10" t="e">
        <f>AVERAGE('SEM 01'!#REF!,'SEM 02'!#REF!,'SEM 03'!C20,'SEM 04'!C20,'SEM 05'!C20,'SEM 06'!C20,'SEM 07'!C20,'SEM 08'!C20,'SEM 09'!C20,'SEM 10'!C20,'SEM 11'!C20,'SEM 12'!C20,'SEM 13'!C20,'SEM 14'!C20,'SEM 15'!C20,'SEM 16'!C20,'SEM 17'!C20,'SEM 18'!C20,'SEM 19'!C20,'SEM 20'!C20,'SEM 21'!C20,'SEM 22'!C20,'SEM 23'!C20,'SEM 24'!C20,'SEM 25'!C20,'SEM 26'!C20,'SEM 27'!C20,'SEM 28'!C20,'SEM 29'!C20,'SEM 30'!C20,'SEM 31'!C20,'SEM 32'!C20,'SEM 33'!C20,'SEM 34'!C20,'SEM 35'!C20,'SEM 36'!C20,'SEM 37'!C20,'SEM 38'!C20,'SEM 39'!C20,'SEM 39'!C20,'SEM 40'!C20,'SEM 41'!C20,'SEM 42'!C20,'SEM 43'!C20,'SEM 44'!C20,'SEM 45'!C20,'SEM 46'!C20,'SEM 47'!C20,'SEM 48'!C20,'SEM 49'!C20,'SEM 50'!C20,'SEM 51'!C20,'SEM 52'!C20)</f>
        <v>#REF!</v>
      </c>
      <c r="D20" s="10" t="e">
        <f>AVERAGE('SEM 01'!#REF!,'SEM 02'!#REF!,'SEM 03'!D20,'SEM 04'!D20,'SEM 05'!D20,'SEM 06'!D20,'SEM 07'!D20,'SEM 08'!D20,'SEM 09'!D20,'SEM 10'!D20,'SEM 11'!D20,'SEM 12'!D20,'SEM 13'!D20,'SEM 14'!D20,'SEM 15'!D20,'SEM 16'!D20,'SEM 17'!D20,'SEM 18'!D20,'SEM 19'!D20,'SEM 20'!D20,'SEM 21'!D20,'SEM 22'!D20,'SEM 23'!D20,'SEM 24'!D20,'SEM 25'!D20,'SEM 26'!D20,'SEM 27'!D20,'SEM 28'!D20,'SEM 29'!D20,'SEM 30'!D20,'SEM 31'!D20,'SEM 32'!D20,'SEM 33'!D20,'SEM 34'!D20,'SEM 35'!D20,'SEM 36'!D20,'SEM 37'!D20,'SEM 38'!D20,'SEM 39'!D20,'SEM 39'!D20,'SEM 40'!D20,'SEM 41'!D20,'SEM 42'!D20,'SEM 43'!D20,'SEM 44'!D20,'SEM 45'!D20,'SEM 46'!D20,'SEM 47'!D20,'SEM 48'!D20,'SEM 49'!D20,'SEM 50'!D20,'SEM 51'!D20,'SEM 52'!D20)</f>
        <v>#REF!</v>
      </c>
      <c r="E20" s="10" t="e">
        <f>AVERAGE('SEM 01'!#REF!,'SEM 02'!#REF!,'SEM 03'!E20,'SEM 04'!E20,'SEM 05'!E20,'SEM 06'!E20,'SEM 07'!E20,'SEM 08'!E20,'SEM 09'!E20,'SEM 10'!E20,'SEM 11'!E20,'SEM 12'!E20,'SEM 13'!E20,'SEM 14'!E20,'SEM 15'!E20,'SEM 16'!E20,'SEM 17'!E20,'SEM 18'!E20,'SEM 19'!E20,'SEM 20'!E20,'SEM 21'!E20,'SEM 22'!E20,'SEM 23'!E20,'SEM 24'!E20,'SEM 25'!E20,'SEM 26'!E20,'SEM 27'!E20,'SEM 28'!E20,'SEM 29'!E20,'SEM 30'!E20,'SEM 31'!E20,'SEM 32'!E20,'SEM 33'!E20,'SEM 34'!E20,'SEM 35'!E20,'SEM 36'!E20,'SEM 37'!E20,'SEM 38'!E20,'SEM 39'!E20,'SEM 39'!E20,'SEM 40'!E20,'SEM 41'!E20,'SEM 42'!E20,'SEM 43'!E20,'SEM 44'!E20,'SEM 45'!E20,'SEM 46'!E20,'SEM 47'!E20,'SEM 48'!E20,'SEM 49'!E20,'SEM 50'!E20,'SEM 51'!E20,'SEM 52'!E20)</f>
        <v>#REF!</v>
      </c>
      <c r="F20" s="11" t="e">
        <f t="shared" si="0"/>
        <v>#REF!</v>
      </c>
      <c r="G20" s="12" t="e">
        <f t="shared" si="2"/>
        <v>#REF!</v>
      </c>
      <c r="H20" s="20" t="e">
        <f t="shared" si="3"/>
        <v>#REF!</v>
      </c>
      <c r="I20" s="21"/>
      <c r="J20" s="22" t="e">
        <f t="shared" si="1"/>
        <v>#REF!</v>
      </c>
    </row>
    <row r="21" spans="1:10" ht="15" thickBot="1" x14ac:dyDescent="0.35">
      <c r="A21" s="1">
        <v>1</v>
      </c>
      <c r="B21" s="16" t="s">
        <v>26</v>
      </c>
      <c r="C21" s="10" t="e">
        <f>AVERAGE('SEM 01'!#REF!,'SEM 02'!#REF!,'SEM 03'!C21,'SEM 04'!C21,'SEM 05'!C21,'SEM 06'!C21,'SEM 07'!C21,'SEM 08'!C21,'SEM 09'!C21,'SEM 10'!C21,'SEM 11'!C21,'SEM 12'!C21,'SEM 13'!C21,'SEM 14'!C21,'SEM 15'!C21,'SEM 16'!C21,'SEM 17'!C21,'SEM 18'!C21,'SEM 19'!C21,'SEM 20'!C21,'SEM 21'!C21,'SEM 22'!C21,'SEM 23'!C21,'SEM 24'!C21,'SEM 25'!C21,'SEM 26'!C21,'SEM 27'!C21,'SEM 28'!C21,'SEM 29'!C21,'SEM 30'!C21,'SEM 31'!C21,'SEM 32'!C21,'SEM 33'!C21,'SEM 34'!C21,'SEM 35'!C21,'SEM 36'!C21,'SEM 37'!C21,'SEM 38'!C21,'SEM 39'!C21,'SEM 39'!C21,'SEM 40'!C21,'SEM 41'!C21,'SEM 42'!C21,'SEM 43'!C21,'SEM 44'!C21,'SEM 45'!C21,'SEM 46'!C21,'SEM 47'!C21,'SEM 48'!C21,'SEM 49'!C21,'SEM 50'!C21,'SEM 51'!C21,'SEM 52'!C21)</f>
        <v>#REF!</v>
      </c>
      <c r="D21" s="10" t="e">
        <f>AVERAGE('SEM 01'!#REF!,'SEM 02'!#REF!,'SEM 03'!D21,'SEM 04'!D21,'SEM 05'!D21,'SEM 06'!D21,'SEM 07'!D21,'SEM 08'!D21,'SEM 09'!D21,'SEM 10'!D21,'SEM 11'!D21,'SEM 12'!D21,'SEM 13'!D21,'SEM 14'!D21,'SEM 15'!D21,'SEM 16'!D21,'SEM 17'!D21,'SEM 18'!D21,'SEM 19'!D21,'SEM 20'!D21,'SEM 21'!D21,'SEM 22'!D21,'SEM 23'!D21,'SEM 24'!D21,'SEM 25'!D21,'SEM 26'!D21,'SEM 27'!D21,'SEM 28'!D21,'SEM 29'!D21,'SEM 30'!D21,'SEM 31'!D21,'SEM 32'!D21,'SEM 33'!D21,'SEM 34'!D21,'SEM 35'!D21,'SEM 36'!D21,'SEM 37'!D21,'SEM 38'!D21,'SEM 39'!D21,'SEM 39'!D21,'SEM 40'!D21,'SEM 41'!D21,'SEM 42'!D21,'SEM 43'!D21,'SEM 44'!D21,'SEM 45'!D21,'SEM 46'!D21,'SEM 47'!D21,'SEM 48'!D21,'SEM 49'!D21,'SEM 50'!D21,'SEM 51'!D21,'SEM 52'!D21)</f>
        <v>#REF!</v>
      </c>
      <c r="E21" s="10" t="e">
        <f>AVERAGE('SEM 01'!#REF!,'SEM 02'!#REF!,'SEM 03'!E21,'SEM 04'!E21,'SEM 05'!E21,'SEM 06'!E21,'SEM 07'!E21,'SEM 08'!E21,'SEM 09'!E21,'SEM 10'!E21,'SEM 11'!E21,'SEM 12'!E21,'SEM 13'!E21,'SEM 14'!E21,'SEM 15'!E21,'SEM 16'!E21,'SEM 17'!E21,'SEM 18'!E21,'SEM 19'!E21,'SEM 20'!E21,'SEM 21'!E21,'SEM 22'!E21,'SEM 23'!E21,'SEM 24'!E21,'SEM 25'!E21,'SEM 26'!E21,'SEM 27'!E21,'SEM 28'!E21,'SEM 29'!E21,'SEM 30'!E21,'SEM 31'!E21,'SEM 32'!E21,'SEM 33'!E21,'SEM 34'!E21,'SEM 35'!E21,'SEM 36'!E21,'SEM 37'!E21,'SEM 38'!E21,'SEM 39'!E21,'SEM 39'!E21,'SEM 40'!E21,'SEM 41'!E21,'SEM 42'!E21,'SEM 43'!E21,'SEM 44'!E21,'SEM 45'!E21,'SEM 46'!E21,'SEM 47'!E21,'SEM 48'!E21,'SEM 49'!E21,'SEM 50'!E21,'SEM 51'!E21,'SEM 52'!E21)</f>
        <v>#REF!</v>
      </c>
      <c r="F21" s="11" t="e">
        <f t="shared" si="0"/>
        <v>#REF!</v>
      </c>
      <c r="G21" s="12" t="e">
        <f t="shared" si="2"/>
        <v>#REF!</v>
      </c>
      <c r="H21" s="20" t="e">
        <f t="shared" si="3"/>
        <v>#REF!</v>
      </c>
      <c r="I21" s="21"/>
      <c r="J21" s="22" t="e">
        <f t="shared" si="1"/>
        <v>#REF!</v>
      </c>
    </row>
    <row r="22" spans="1:10" ht="15" thickBot="1" x14ac:dyDescent="0.35">
      <c r="A22" s="1">
        <v>1</v>
      </c>
      <c r="B22" s="16" t="s">
        <v>27</v>
      </c>
      <c r="C22" s="10" t="e">
        <f>AVERAGE('SEM 01'!#REF!,'SEM 02'!#REF!,'SEM 03'!C22,'SEM 04'!C22,'SEM 05'!C22,'SEM 06'!C22,'SEM 07'!C22,'SEM 08'!C22,'SEM 09'!C22,'SEM 10'!C22,'SEM 11'!C22,'SEM 12'!C22,'SEM 13'!C22,'SEM 14'!C22,'SEM 15'!C22,'SEM 16'!C22,'SEM 17'!C22,'SEM 18'!C22,'SEM 19'!C22,'SEM 20'!C22,'SEM 21'!C22,'SEM 22'!C22,'SEM 23'!C22,'SEM 24'!C22,'SEM 25'!C22,'SEM 26'!C22,'SEM 27'!C22,'SEM 28'!C22,'SEM 29'!C22,'SEM 30'!C22,'SEM 31'!C22,'SEM 32'!C22,'SEM 33'!C22,'SEM 34'!C22,'SEM 35'!C22,'SEM 36'!C22,'SEM 37'!C22,'SEM 38'!C22,'SEM 39'!C22,'SEM 39'!C22,'SEM 40'!C22,'SEM 41'!C22,'SEM 42'!C22,'SEM 43'!C22,'SEM 44'!C22,'SEM 45'!C22,'SEM 46'!C22,'SEM 47'!C22,'SEM 48'!C22,'SEM 49'!C22,'SEM 50'!C22,'SEM 51'!C22,'SEM 52'!C22)</f>
        <v>#REF!</v>
      </c>
      <c r="D22" s="10" t="e">
        <f>AVERAGE('SEM 01'!#REF!,'SEM 02'!#REF!,'SEM 03'!D22,'SEM 04'!D22,'SEM 05'!D22,'SEM 06'!D22,'SEM 07'!D22,'SEM 08'!D22,'SEM 09'!D22,'SEM 10'!D22,'SEM 11'!D22,'SEM 12'!D22,'SEM 13'!D22,'SEM 14'!D22,'SEM 15'!D22,'SEM 16'!D22,'SEM 17'!D22,'SEM 18'!D22,'SEM 19'!D22,'SEM 20'!D22,'SEM 21'!D22,'SEM 22'!D22,'SEM 23'!D22,'SEM 24'!D22,'SEM 25'!D22,'SEM 26'!D22,'SEM 27'!D22,'SEM 28'!D22,'SEM 29'!D22,'SEM 30'!D22,'SEM 31'!D22,'SEM 32'!D22,'SEM 33'!D22,'SEM 34'!D22,'SEM 35'!D22,'SEM 36'!D22,'SEM 37'!D22,'SEM 38'!D22,'SEM 39'!D22,'SEM 39'!D22,'SEM 40'!D22,'SEM 41'!D22,'SEM 42'!D22,'SEM 43'!D22,'SEM 44'!D22,'SEM 45'!D22,'SEM 46'!D22,'SEM 47'!D22,'SEM 48'!D22,'SEM 49'!D22,'SEM 50'!D22,'SEM 51'!D22,'SEM 52'!D22)</f>
        <v>#REF!</v>
      </c>
      <c r="E22" s="10" t="e">
        <f>AVERAGE('SEM 01'!#REF!,'SEM 02'!#REF!,'SEM 03'!E22,'SEM 04'!E22,'SEM 05'!E22,'SEM 06'!E22,'SEM 07'!E22,'SEM 08'!E22,'SEM 09'!E22,'SEM 10'!E22,'SEM 11'!E22,'SEM 12'!E22,'SEM 13'!E22,'SEM 14'!E22,'SEM 15'!E22,'SEM 16'!E22,'SEM 17'!E22,'SEM 18'!E22,'SEM 19'!E22,'SEM 20'!E22,'SEM 21'!E22,'SEM 22'!E22,'SEM 23'!E22,'SEM 24'!E22,'SEM 25'!E22,'SEM 26'!E22,'SEM 27'!E22,'SEM 28'!E22,'SEM 29'!E22,'SEM 30'!E22,'SEM 31'!E22,'SEM 32'!E22,'SEM 33'!E22,'SEM 34'!E22,'SEM 35'!E22,'SEM 36'!E22,'SEM 37'!E22,'SEM 38'!E22,'SEM 39'!E22,'SEM 39'!E22,'SEM 40'!E22,'SEM 41'!E22,'SEM 42'!E22,'SEM 43'!E22,'SEM 44'!E22,'SEM 45'!E22,'SEM 46'!E22,'SEM 47'!E22,'SEM 48'!E22,'SEM 49'!E22,'SEM 50'!E22,'SEM 51'!E22,'SEM 52'!E22)</f>
        <v>#REF!</v>
      </c>
      <c r="F22" s="11" t="e">
        <f t="shared" si="0"/>
        <v>#REF!</v>
      </c>
      <c r="G22" s="12" t="e">
        <f t="shared" si="2"/>
        <v>#REF!</v>
      </c>
      <c r="H22" s="20" t="e">
        <f t="shared" si="3"/>
        <v>#REF!</v>
      </c>
      <c r="I22" s="21"/>
      <c r="J22" s="22" t="e">
        <f t="shared" si="1"/>
        <v>#REF!</v>
      </c>
    </row>
    <row r="23" spans="1:10" ht="15" thickBot="1" x14ac:dyDescent="0.35">
      <c r="A23" s="1">
        <v>1</v>
      </c>
      <c r="B23" s="16" t="s">
        <v>28</v>
      </c>
      <c r="C23" s="10" t="e">
        <f>AVERAGE('SEM 01'!#REF!,'SEM 02'!#REF!,'SEM 03'!C23,'SEM 04'!C23,'SEM 05'!C23,'SEM 06'!C23,'SEM 07'!C23,'SEM 08'!C23,'SEM 09'!C23,'SEM 10'!C23,'SEM 11'!C23,'SEM 12'!C23,'SEM 13'!C23,'SEM 14'!C23,'SEM 15'!C23,'SEM 16'!C23,'SEM 17'!C23,'SEM 18'!C23,'SEM 19'!C23,'SEM 20'!C23,'SEM 21'!C23,'SEM 22'!C23,'SEM 23'!C23,'SEM 24'!C23,'SEM 25'!C23,'SEM 26'!C23,'SEM 27'!C23,'SEM 28'!C23,'SEM 29'!C23,'SEM 30'!C23,'SEM 31'!C23,'SEM 32'!C23,'SEM 33'!C23,'SEM 34'!C23,'SEM 35'!C23,'SEM 36'!C23,'SEM 37'!C23,'SEM 38'!C23,'SEM 39'!C23,'SEM 39'!C23,'SEM 40'!C23,'SEM 41'!C23,'SEM 42'!C23,'SEM 43'!C23,'SEM 44'!C23,'SEM 45'!C23,'SEM 46'!C23,'SEM 47'!C23,'SEM 48'!C23,'SEM 49'!C23,'SEM 50'!C23,'SEM 51'!C23,'SEM 52'!C23)</f>
        <v>#REF!</v>
      </c>
      <c r="D23" s="10" t="e">
        <f>AVERAGE('SEM 01'!#REF!,'SEM 02'!#REF!,'SEM 03'!D23,'SEM 04'!D23,'SEM 05'!D23,'SEM 06'!D23,'SEM 07'!D23,'SEM 08'!D23,'SEM 09'!D23,'SEM 10'!D23,'SEM 11'!D23,'SEM 12'!D23,'SEM 13'!D23,'SEM 14'!D23,'SEM 15'!D23,'SEM 16'!D23,'SEM 17'!D23,'SEM 18'!D23,'SEM 19'!D23,'SEM 20'!D23,'SEM 21'!D23,'SEM 22'!D23,'SEM 23'!D23,'SEM 24'!D23,'SEM 25'!D23,'SEM 26'!D23,'SEM 27'!D23,'SEM 28'!D23,'SEM 29'!D23,'SEM 30'!D23,'SEM 31'!D23,'SEM 32'!D23,'SEM 33'!D23,'SEM 34'!D23,'SEM 35'!D23,'SEM 36'!D23,'SEM 37'!D23,'SEM 38'!D23,'SEM 39'!D23,'SEM 39'!D23,'SEM 40'!D23,'SEM 41'!D23,'SEM 42'!D23,'SEM 43'!D23,'SEM 44'!D23,'SEM 45'!D23,'SEM 46'!D23,'SEM 47'!D23,'SEM 48'!D23,'SEM 49'!D23,'SEM 50'!D23,'SEM 51'!D23,'SEM 52'!D23)</f>
        <v>#REF!</v>
      </c>
      <c r="E23" s="10" t="e">
        <f>AVERAGE('SEM 01'!#REF!,'SEM 02'!#REF!,'SEM 03'!E23,'SEM 04'!E23,'SEM 05'!E23,'SEM 06'!E23,'SEM 07'!E23,'SEM 08'!E23,'SEM 09'!E23,'SEM 10'!E23,'SEM 11'!E23,'SEM 12'!E23,'SEM 13'!E23,'SEM 14'!E23,'SEM 15'!E23,'SEM 16'!E23,'SEM 17'!E23,'SEM 18'!E23,'SEM 19'!E23,'SEM 20'!E23,'SEM 21'!E23,'SEM 22'!E23,'SEM 23'!E23,'SEM 24'!E23,'SEM 25'!E23,'SEM 26'!E23,'SEM 27'!E23,'SEM 28'!E23,'SEM 29'!E23,'SEM 30'!E23,'SEM 31'!E23,'SEM 32'!E23,'SEM 33'!E23,'SEM 34'!E23,'SEM 35'!E23,'SEM 36'!E23,'SEM 37'!E23,'SEM 38'!E23,'SEM 39'!E23,'SEM 39'!E23,'SEM 40'!E23,'SEM 41'!E23,'SEM 42'!E23,'SEM 43'!E23,'SEM 44'!E23,'SEM 45'!E23,'SEM 46'!E23,'SEM 47'!E23,'SEM 48'!E23,'SEM 49'!E23,'SEM 50'!E23,'SEM 51'!E23,'SEM 52'!E23)</f>
        <v>#REF!</v>
      </c>
      <c r="F23" s="11" t="e">
        <f t="shared" si="0"/>
        <v>#REF!</v>
      </c>
      <c r="G23" s="12" t="e">
        <f t="shared" si="2"/>
        <v>#REF!</v>
      </c>
      <c r="H23" s="20" t="e">
        <f t="shared" si="3"/>
        <v>#REF!</v>
      </c>
      <c r="I23" s="21"/>
      <c r="J23" s="22" t="e">
        <f t="shared" si="1"/>
        <v>#REF!</v>
      </c>
    </row>
    <row r="24" spans="1:10" ht="15" thickBot="1" x14ac:dyDescent="0.35">
      <c r="A24" s="1">
        <v>1</v>
      </c>
      <c r="B24" s="16" t="s">
        <v>29</v>
      </c>
      <c r="C24" s="10" t="e">
        <f>AVERAGE('SEM 01'!#REF!,'SEM 02'!#REF!,'SEM 03'!C24,'SEM 04'!C24,'SEM 05'!C24,'SEM 06'!C24,'SEM 07'!C24,'SEM 08'!C24,'SEM 09'!C24,'SEM 10'!C24,'SEM 11'!C24,'SEM 12'!C24,'SEM 13'!C24,'SEM 14'!C24,'SEM 15'!C24,'SEM 16'!C24,'SEM 17'!C24,'SEM 18'!C24,'SEM 19'!C24,'SEM 20'!C24,'SEM 21'!C24,'SEM 22'!C24,'SEM 23'!C24,'SEM 24'!C24,'SEM 25'!C24,'SEM 26'!C24,'SEM 27'!C24,'SEM 28'!C24,'SEM 29'!C24,'SEM 30'!C24,'SEM 31'!C24,'SEM 32'!C24,'SEM 33'!C24,'SEM 34'!C24,'SEM 35'!C24,'SEM 36'!C24,'SEM 37'!C24,'SEM 38'!C24,'SEM 39'!C24,'SEM 39'!C24,'SEM 40'!C24,'SEM 41'!C24,'SEM 42'!C24,'SEM 43'!C24,'SEM 44'!C24,'SEM 45'!C24,'SEM 46'!C24,'SEM 47'!C24,'SEM 48'!C24,'SEM 49'!C24,'SEM 50'!C24,'SEM 51'!C24,'SEM 52'!C24)</f>
        <v>#REF!</v>
      </c>
      <c r="D24" s="10" t="e">
        <f>AVERAGE('SEM 01'!#REF!,'SEM 02'!#REF!,'SEM 03'!D24,'SEM 04'!D24,'SEM 05'!D24,'SEM 06'!D24,'SEM 07'!D24,'SEM 08'!D24,'SEM 09'!D24,'SEM 10'!D24,'SEM 11'!D24,'SEM 12'!D24,'SEM 13'!D24,'SEM 14'!D24,'SEM 15'!D24,'SEM 16'!D24,'SEM 17'!D24,'SEM 18'!D24,'SEM 19'!D24,'SEM 20'!D24,'SEM 21'!D24,'SEM 22'!D24,'SEM 23'!D24,'SEM 24'!D24,'SEM 25'!D24,'SEM 26'!D24,'SEM 27'!D24,'SEM 28'!D24,'SEM 29'!D24,'SEM 30'!D24,'SEM 31'!D24,'SEM 32'!D24,'SEM 33'!D24,'SEM 34'!D24,'SEM 35'!D24,'SEM 36'!D24,'SEM 37'!D24,'SEM 38'!D24,'SEM 39'!D24,'SEM 39'!D24,'SEM 40'!D24,'SEM 41'!D24,'SEM 42'!D24,'SEM 43'!D24,'SEM 44'!D24,'SEM 45'!D24,'SEM 46'!D24,'SEM 47'!D24,'SEM 48'!D24,'SEM 49'!D24,'SEM 50'!D24,'SEM 51'!D24,'SEM 52'!D24)</f>
        <v>#REF!</v>
      </c>
      <c r="E24" s="10" t="e">
        <f>AVERAGE('SEM 01'!#REF!,'SEM 02'!#REF!,'SEM 03'!E24,'SEM 04'!E24,'SEM 05'!E24,'SEM 06'!E24,'SEM 07'!E24,'SEM 08'!E24,'SEM 09'!E24,'SEM 10'!E24,'SEM 11'!E24,'SEM 12'!E24,'SEM 13'!E24,'SEM 14'!E24,'SEM 15'!E24,'SEM 16'!E24,'SEM 17'!E24,'SEM 18'!E24,'SEM 19'!E24,'SEM 20'!E24,'SEM 21'!E24,'SEM 22'!E24,'SEM 23'!E24,'SEM 24'!E24,'SEM 25'!E24,'SEM 26'!E24,'SEM 27'!E24,'SEM 28'!E24,'SEM 29'!E24,'SEM 30'!E24,'SEM 31'!E24,'SEM 32'!E24,'SEM 33'!E24,'SEM 34'!E24,'SEM 35'!E24,'SEM 36'!E24,'SEM 37'!E24,'SEM 38'!E24,'SEM 39'!E24,'SEM 39'!E24,'SEM 40'!E24,'SEM 41'!E24,'SEM 42'!E24,'SEM 43'!E24,'SEM 44'!E24,'SEM 45'!E24,'SEM 46'!E24,'SEM 47'!E24,'SEM 48'!E24,'SEM 49'!E24,'SEM 50'!E24,'SEM 51'!E24,'SEM 52'!E24)</f>
        <v>#REF!</v>
      </c>
      <c r="F24" s="11" t="e">
        <f t="shared" si="0"/>
        <v>#REF!</v>
      </c>
      <c r="G24" s="12" t="e">
        <f t="shared" si="2"/>
        <v>#REF!</v>
      </c>
      <c r="H24" s="20" t="e">
        <f t="shared" si="3"/>
        <v>#REF!</v>
      </c>
      <c r="I24" s="21"/>
      <c r="J24" s="22" t="e">
        <f t="shared" si="1"/>
        <v>#REF!</v>
      </c>
    </row>
    <row r="25" spans="1:10" ht="15" thickBot="1" x14ac:dyDescent="0.35">
      <c r="A25" s="1">
        <v>2</v>
      </c>
      <c r="B25" s="16" t="s">
        <v>30</v>
      </c>
      <c r="C25" s="10" t="e">
        <f>AVERAGE('SEM 01'!#REF!,'SEM 02'!#REF!,'SEM 03'!C25,'SEM 04'!C25,'SEM 05'!C25,'SEM 06'!C25,'SEM 07'!C25,'SEM 08'!C25,'SEM 09'!C25,'SEM 10'!C25,'SEM 11'!C25,'SEM 12'!C25,'SEM 13'!C25,'SEM 14'!C25,'SEM 15'!C25,'SEM 16'!C25,'SEM 17'!C25,'SEM 18'!C25,'SEM 19'!C25,'SEM 20'!C25,'SEM 21'!C25,'SEM 22'!C25,'SEM 23'!C25,'SEM 24'!C25,'SEM 25'!C25,'SEM 26'!C25,'SEM 27'!C25,'SEM 28'!C25,'SEM 29'!C25,'SEM 30'!C25,'SEM 31'!C25,'SEM 32'!C25,'SEM 33'!C25,'SEM 34'!C25,'SEM 35'!C25,'SEM 36'!C25,'SEM 37'!C25,'SEM 38'!C25,'SEM 39'!C25,'SEM 39'!C25,'SEM 40'!C25,'SEM 41'!C25,'SEM 42'!C25,'SEM 43'!C25,'SEM 44'!C25,'SEM 45'!C25,'SEM 46'!C25,'SEM 47'!C25,'SEM 48'!C25,'SEM 49'!C25,'SEM 50'!C25,'SEM 51'!C25,'SEM 52'!C25)</f>
        <v>#REF!</v>
      </c>
      <c r="D25" s="10" t="e">
        <f>AVERAGE('SEM 01'!#REF!,'SEM 02'!#REF!,'SEM 03'!D25,'SEM 04'!D25,'SEM 05'!D25,'SEM 06'!D25,'SEM 07'!D25,'SEM 08'!D25,'SEM 09'!D25,'SEM 10'!D25,'SEM 11'!D25,'SEM 12'!D25,'SEM 13'!D25,'SEM 14'!D25,'SEM 15'!D25,'SEM 16'!D25,'SEM 17'!D25,'SEM 18'!D25,'SEM 19'!D25,'SEM 20'!D25,'SEM 21'!D25,'SEM 22'!D25,'SEM 23'!D25,'SEM 24'!D25,'SEM 25'!D25,'SEM 26'!D25,'SEM 27'!D25,'SEM 28'!D25,'SEM 29'!D25,'SEM 30'!D25,'SEM 31'!D25,'SEM 32'!D25,'SEM 33'!D25,'SEM 34'!D25,'SEM 35'!D25,'SEM 36'!D25,'SEM 37'!D25,'SEM 38'!D25,'SEM 39'!D25,'SEM 39'!D25,'SEM 40'!D25,'SEM 41'!D25,'SEM 42'!D25,'SEM 43'!D25,'SEM 44'!D25,'SEM 45'!D25,'SEM 46'!D25,'SEM 47'!D25,'SEM 48'!D25,'SEM 49'!D25,'SEM 50'!D25,'SEM 51'!D25,'SEM 52'!D25)</f>
        <v>#REF!</v>
      </c>
      <c r="E25" s="10" t="e">
        <f>AVERAGE('SEM 01'!#REF!,'SEM 02'!#REF!,'SEM 03'!E25,'SEM 04'!E25,'SEM 05'!E25,'SEM 06'!E25,'SEM 07'!E25,'SEM 08'!E25,'SEM 09'!E25,'SEM 10'!E25,'SEM 11'!E25,'SEM 12'!E25,'SEM 13'!E25,'SEM 14'!E25,'SEM 15'!E25,'SEM 16'!E25,'SEM 17'!E25,'SEM 18'!E25,'SEM 19'!E25,'SEM 20'!E25,'SEM 21'!E25,'SEM 22'!E25,'SEM 23'!E25,'SEM 24'!E25,'SEM 25'!E25,'SEM 26'!E25,'SEM 27'!E25,'SEM 28'!E25,'SEM 29'!E25,'SEM 30'!E25,'SEM 31'!E25,'SEM 32'!E25,'SEM 33'!E25,'SEM 34'!E25,'SEM 35'!E25,'SEM 36'!E25,'SEM 37'!E25,'SEM 38'!E25,'SEM 39'!E25,'SEM 39'!E25,'SEM 40'!E25,'SEM 41'!E25,'SEM 42'!E25,'SEM 43'!E25,'SEM 44'!E25,'SEM 45'!E25,'SEM 46'!E25,'SEM 47'!E25,'SEM 48'!E25,'SEM 49'!E25,'SEM 50'!E25,'SEM 51'!E25,'SEM 52'!E25)</f>
        <v>#REF!</v>
      </c>
      <c r="F25" s="11" t="e">
        <f t="shared" si="0"/>
        <v>#REF!</v>
      </c>
      <c r="G25" s="12" t="e">
        <f t="shared" si="2"/>
        <v>#REF!</v>
      </c>
      <c r="H25" s="20" t="e">
        <f t="shared" si="3"/>
        <v>#REF!</v>
      </c>
      <c r="I25" s="21"/>
      <c r="J25" s="22" t="e">
        <f t="shared" si="1"/>
        <v>#REF!</v>
      </c>
    </row>
    <row r="26" spans="1:10" ht="15" thickBot="1" x14ac:dyDescent="0.35">
      <c r="A26" s="1">
        <v>2</v>
      </c>
      <c r="B26" s="16" t="s">
        <v>31</v>
      </c>
      <c r="C26" s="10" t="e">
        <f>AVERAGE('SEM 01'!#REF!,'SEM 02'!#REF!,'SEM 03'!C26,'SEM 04'!C26,'SEM 05'!C26,'SEM 06'!C26,'SEM 07'!C26,'SEM 08'!C26,'SEM 09'!C26,'SEM 10'!C26,'SEM 11'!C26,'SEM 12'!C26,'SEM 13'!C26,'SEM 14'!C26,'SEM 15'!C26,'SEM 16'!C26,'SEM 17'!C26,'SEM 18'!C26,'SEM 19'!C26,'SEM 20'!C26,'SEM 21'!C26,'SEM 22'!C26,'SEM 23'!C26,'SEM 24'!C26,'SEM 25'!C26,'SEM 26'!C26,'SEM 27'!C26,'SEM 28'!C26,'SEM 29'!C26,'SEM 30'!C26,'SEM 31'!C26,'SEM 32'!C26,'SEM 33'!C26,'SEM 34'!C26,'SEM 35'!C26,'SEM 36'!C26,'SEM 37'!C26,'SEM 38'!C26,'SEM 39'!C26,'SEM 39'!C26,'SEM 40'!C26,'SEM 41'!C26,'SEM 42'!C26,'SEM 43'!C26,'SEM 44'!C26,'SEM 45'!C26,'SEM 46'!C26,'SEM 47'!C26,'SEM 48'!C26,'SEM 49'!C26,'SEM 50'!C26,'SEM 51'!C26,'SEM 52'!C26)</f>
        <v>#REF!</v>
      </c>
      <c r="D26" s="10" t="e">
        <f>AVERAGE('SEM 01'!#REF!,'SEM 02'!#REF!,'SEM 03'!D26,'SEM 04'!D26,'SEM 05'!D26,'SEM 06'!D26,'SEM 07'!D26,'SEM 08'!D26,'SEM 09'!D26,'SEM 10'!D26,'SEM 11'!D26,'SEM 12'!D26,'SEM 13'!D26,'SEM 14'!D26,'SEM 15'!D26,'SEM 16'!D26,'SEM 17'!D26,'SEM 18'!D26,'SEM 19'!D26,'SEM 20'!D26,'SEM 21'!D26,'SEM 22'!D26,'SEM 23'!D26,'SEM 24'!D26,'SEM 25'!D26,'SEM 26'!D26,'SEM 27'!D26,'SEM 28'!D26,'SEM 29'!D26,'SEM 30'!D26,'SEM 31'!D26,'SEM 32'!D26,'SEM 33'!D26,'SEM 34'!D26,'SEM 35'!D26,'SEM 36'!D26,'SEM 37'!D26,'SEM 38'!D26,'SEM 39'!D26,'SEM 39'!D26,'SEM 40'!D26,'SEM 41'!D26,'SEM 42'!D26,'SEM 43'!D26,'SEM 44'!D26,'SEM 45'!D26,'SEM 46'!D26,'SEM 47'!D26,'SEM 48'!D26,'SEM 49'!D26,'SEM 50'!D26,'SEM 51'!D26,'SEM 52'!D26)</f>
        <v>#REF!</v>
      </c>
      <c r="E26" s="10" t="e">
        <f>AVERAGE('SEM 01'!#REF!,'SEM 02'!#REF!,'SEM 03'!E26,'SEM 04'!E26,'SEM 05'!E26,'SEM 06'!E26,'SEM 07'!E26,'SEM 08'!E26,'SEM 09'!E26,'SEM 10'!E26,'SEM 11'!E26,'SEM 12'!E26,'SEM 13'!E26,'SEM 14'!E26,'SEM 15'!E26,'SEM 16'!E26,'SEM 17'!E26,'SEM 18'!E26,'SEM 19'!E26,'SEM 20'!E26,'SEM 21'!E26,'SEM 22'!E26,'SEM 23'!E26,'SEM 24'!E26,'SEM 25'!E26,'SEM 26'!E26,'SEM 27'!E26,'SEM 28'!E26,'SEM 29'!E26,'SEM 30'!E26,'SEM 31'!E26,'SEM 32'!E26,'SEM 33'!E26,'SEM 34'!E26,'SEM 35'!E26,'SEM 36'!E26,'SEM 37'!E26,'SEM 38'!E26,'SEM 39'!E26,'SEM 39'!E26,'SEM 40'!E26,'SEM 41'!E26,'SEM 42'!E26,'SEM 43'!E26,'SEM 44'!E26,'SEM 45'!E26,'SEM 46'!E26,'SEM 47'!E26,'SEM 48'!E26,'SEM 49'!E26,'SEM 50'!E26,'SEM 51'!E26,'SEM 52'!E26)</f>
        <v>#REF!</v>
      </c>
      <c r="F26" s="11" t="e">
        <f t="shared" si="0"/>
        <v>#REF!</v>
      </c>
      <c r="G26" s="12" t="e">
        <f t="shared" si="2"/>
        <v>#REF!</v>
      </c>
      <c r="H26" s="20" t="e">
        <f t="shared" si="3"/>
        <v>#REF!</v>
      </c>
      <c r="I26" s="21"/>
      <c r="J26" s="22" t="e">
        <f t="shared" si="1"/>
        <v>#REF!</v>
      </c>
    </row>
    <row r="27" spans="1:10" ht="15" thickBot="1" x14ac:dyDescent="0.35">
      <c r="A27" s="1">
        <v>1</v>
      </c>
      <c r="B27" s="16" t="s">
        <v>32</v>
      </c>
      <c r="C27" s="10" t="e">
        <f>AVERAGE('SEM 01'!#REF!,'SEM 02'!#REF!,'SEM 03'!C27,'SEM 04'!C27,'SEM 05'!C27,'SEM 06'!C27,'SEM 07'!C27,'SEM 08'!C27,'SEM 09'!C27,'SEM 10'!C27,'SEM 11'!C27,'SEM 12'!C27,'SEM 13'!C27,'SEM 14'!C27,'SEM 15'!C27,'SEM 16'!C27,'SEM 17'!C27,'SEM 18'!C27,'SEM 19'!C27,'SEM 20'!C27,'SEM 21'!C27,'SEM 22'!C27,'SEM 23'!C27,'SEM 24'!C27,'SEM 25'!C27,'SEM 26'!C27,'SEM 27'!C27,'SEM 28'!C27,'SEM 29'!C27,'SEM 30'!C27,'SEM 31'!C27,'SEM 32'!C27,'SEM 33'!C27,'SEM 34'!C27,'SEM 35'!C27,'SEM 36'!C27,'SEM 37'!C27,'SEM 38'!C27,'SEM 39'!C27,'SEM 39'!C27,'SEM 40'!C27,'SEM 41'!C27,'SEM 42'!C27,'SEM 43'!C27,'SEM 44'!C27,'SEM 45'!C27,'SEM 46'!C27,'SEM 47'!C27,'SEM 48'!C27,'SEM 49'!C27,'SEM 50'!C27,'SEM 51'!C27,'SEM 52'!C27)</f>
        <v>#REF!</v>
      </c>
      <c r="D27" s="10" t="e">
        <f>AVERAGE('SEM 01'!#REF!,'SEM 02'!#REF!,'SEM 03'!D27,'SEM 04'!D27,'SEM 05'!D27,'SEM 06'!D27,'SEM 07'!D27,'SEM 08'!D27,'SEM 09'!D27,'SEM 10'!D27,'SEM 11'!D27,'SEM 12'!D27,'SEM 13'!D27,'SEM 14'!D27,'SEM 15'!D27,'SEM 16'!D27,'SEM 17'!D27,'SEM 18'!D27,'SEM 19'!D27,'SEM 20'!D27,'SEM 21'!D27,'SEM 22'!D27,'SEM 23'!D27,'SEM 24'!D27,'SEM 25'!D27,'SEM 26'!D27,'SEM 27'!D27,'SEM 28'!D27,'SEM 29'!D27,'SEM 30'!D27,'SEM 31'!D27,'SEM 32'!D27,'SEM 33'!D27,'SEM 34'!D27,'SEM 35'!D27,'SEM 36'!D27,'SEM 37'!D27,'SEM 38'!D27,'SEM 39'!D27,'SEM 39'!D27,'SEM 40'!D27,'SEM 41'!D27,'SEM 42'!D27,'SEM 43'!D27,'SEM 44'!D27,'SEM 45'!D27,'SEM 46'!D27,'SEM 47'!D27,'SEM 48'!D27,'SEM 49'!D27,'SEM 50'!D27,'SEM 51'!D27,'SEM 52'!D27)</f>
        <v>#REF!</v>
      </c>
      <c r="E27" s="10" t="e">
        <f>AVERAGE('SEM 01'!#REF!,'SEM 02'!#REF!,'SEM 03'!E27,'SEM 04'!E27,'SEM 05'!E27,'SEM 06'!E27,'SEM 07'!E27,'SEM 08'!E27,'SEM 09'!E27,'SEM 10'!E27,'SEM 11'!E27,'SEM 12'!E27,'SEM 13'!E27,'SEM 14'!E27,'SEM 15'!E27,'SEM 16'!E27,'SEM 17'!E27,'SEM 18'!E27,'SEM 19'!E27,'SEM 20'!E27,'SEM 21'!E27,'SEM 22'!E27,'SEM 23'!E27,'SEM 24'!E27,'SEM 25'!E27,'SEM 26'!E27,'SEM 27'!E27,'SEM 28'!E27,'SEM 29'!E27,'SEM 30'!E27,'SEM 31'!E27,'SEM 32'!E27,'SEM 33'!E27,'SEM 34'!E27,'SEM 35'!E27,'SEM 36'!E27,'SEM 37'!E27,'SEM 38'!E27,'SEM 39'!E27,'SEM 39'!E27,'SEM 40'!E27,'SEM 41'!E27,'SEM 42'!E27,'SEM 43'!E27,'SEM 44'!E27,'SEM 45'!E27,'SEM 46'!E27,'SEM 47'!E27,'SEM 48'!E27,'SEM 49'!E27,'SEM 50'!E27,'SEM 51'!E27,'SEM 52'!E27)</f>
        <v>#REF!</v>
      </c>
      <c r="F27" s="11" t="e">
        <f t="shared" si="0"/>
        <v>#REF!</v>
      </c>
      <c r="G27" s="12" t="e">
        <f t="shared" si="2"/>
        <v>#REF!</v>
      </c>
      <c r="H27" s="20" t="e">
        <f t="shared" si="3"/>
        <v>#REF!</v>
      </c>
      <c r="I27" s="21"/>
      <c r="J27" s="22" t="e">
        <f t="shared" si="1"/>
        <v>#REF!</v>
      </c>
    </row>
    <row r="28" spans="1:10" ht="15" thickBot="1" x14ac:dyDescent="0.35">
      <c r="A28" s="1">
        <v>2</v>
      </c>
      <c r="B28" s="16" t="s">
        <v>33</v>
      </c>
      <c r="C28" s="10" t="e">
        <f>AVERAGE('SEM 01'!#REF!,'SEM 02'!#REF!,'SEM 03'!C28,'SEM 04'!C28,'SEM 05'!C28,'SEM 06'!C28,'SEM 07'!C28,'SEM 08'!C28,'SEM 09'!C28,'SEM 10'!C28,'SEM 11'!C28,'SEM 12'!C28,'SEM 13'!C28,'SEM 14'!C28,'SEM 15'!C28,'SEM 16'!C28,'SEM 17'!C28,'SEM 18'!C28,'SEM 19'!C28,'SEM 20'!C28,'SEM 21'!C28,'SEM 22'!C28,'SEM 23'!C28,'SEM 24'!C28,'SEM 25'!C28,'SEM 26'!C28,'SEM 27'!C28,'SEM 28'!C28,'SEM 29'!C28,'SEM 30'!C28,'SEM 31'!C28,'SEM 32'!C28,'SEM 33'!C28,'SEM 34'!C28,'SEM 35'!C28,'SEM 36'!C28,'SEM 37'!C28,'SEM 38'!C28,'SEM 39'!C28,'SEM 39'!C28,'SEM 40'!C28,'SEM 41'!C28,'SEM 42'!C28,'SEM 43'!C28,'SEM 44'!C28,'SEM 45'!C28,'SEM 46'!C28,'SEM 47'!C28,'SEM 48'!C28,'SEM 49'!C28,'SEM 50'!C28,'SEM 51'!C28,'SEM 52'!C28)</f>
        <v>#REF!</v>
      </c>
      <c r="D28" s="10" t="e">
        <f>AVERAGE('SEM 01'!#REF!,'SEM 02'!#REF!,'SEM 03'!D28,'SEM 04'!D28,'SEM 05'!D28,'SEM 06'!D28,'SEM 07'!D28,'SEM 08'!D28,'SEM 09'!D28,'SEM 10'!D28,'SEM 11'!D28,'SEM 12'!D28,'SEM 13'!D28,'SEM 14'!D28,'SEM 15'!D28,'SEM 16'!D28,'SEM 17'!D28,'SEM 18'!D28,'SEM 19'!D28,'SEM 20'!D28,'SEM 21'!D28,'SEM 22'!D28,'SEM 23'!D28,'SEM 24'!D28,'SEM 25'!D28,'SEM 26'!D28,'SEM 27'!D28,'SEM 28'!D28,'SEM 29'!D28,'SEM 30'!D28,'SEM 31'!D28,'SEM 32'!D28,'SEM 33'!D28,'SEM 34'!D28,'SEM 35'!D28,'SEM 36'!D28,'SEM 37'!D28,'SEM 38'!D28,'SEM 39'!D28,'SEM 39'!D28,'SEM 40'!D28,'SEM 41'!D28,'SEM 42'!D28,'SEM 43'!D28,'SEM 44'!D28,'SEM 45'!D28,'SEM 46'!D28,'SEM 47'!D28,'SEM 48'!D28,'SEM 49'!D28,'SEM 50'!D28,'SEM 51'!D28,'SEM 52'!D28)</f>
        <v>#REF!</v>
      </c>
      <c r="E28" s="10" t="e">
        <f>AVERAGE('SEM 01'!#REF!,'SEM 02'!#REF!,'SEM 03'!E28,'SEM 04'!E28,'SEM 05'!E28,'SEM 06'!E28,'SEM 07'!E28,'SEM 08'!E28,'SEM 09'!E28,'SEM 10'!E28,'SEM 11'!E28,'SEM 12'!E28,'SEM 13'!E28,'SEM 14'!E28,'SEM 15'!E28,'SEM 16'!E28,'SEM 17'!E28,'SEM 18'!E28,'SEM 19'!E28,'SEM 20'!E28,'SEM 21'!E28,'SEM 22'!E28,'SEM 23'!E28,'SEM 24'!E28,'SEM 25'!E28,'SEM 26'!E28,'SEM 27'!E28,'SEM 28'!E28,'SEM 29'!E28,'SEM 30'!E28,'SEM 31'!E28,'SEM 32'!E28,'SEM 33'!E28,'SEM 34'!E28,'SEM 35'!E28,'SEM 36'!E28,'SEM 37'!E28,'SEM 38'!E28,'SEM 39'!E28,'SEM 39'!E28,'SEM 40'!E28,'SEM 41'!E28,'SEM 42'!E28,'SEM 43'!E28,'SEM 44'!E28,'SEM 45'!E28,'SEM 46'!E28,'SEM 47'!E28,'SEM 48'!E28,'SEM 49'!E28,'SEM 50'!E28,'SEM 51'!E28,'SEM 52'!E28)</f>
        <v>#REF!</v>
      </c>
      <c r="F28" s="11" t="e">
        <f t="shared" si="0"/>
        <v>#REF!</v>
      </c>
      <c r="G28" s="12" t="e">
        <f t="shared" si="2"/>
        <v>#REF!</v>
      </c>
      <c r="H28" s="20" t="e">
        <f t="shared" si="3"/>
        <v>#REF!</v>
      </c>
      <c r="I28" s="21"/>
      <c r="J28" s="22" t="e">
        <f t="shared" si="1"/>
        <v>#REF!</v>
      </c>
    </row>
    <row r="29" spans="1:10" ht="15" thickBot="1" x14ac:dyDescent="0.35">
      <c r="A29" s="1"/>
      <c r="B29" s="16" t="s">
        <v>34</v>
      </c>
      <c r="C29" s="10" t="e">
        <f>AVERAGE('SEM 01'!#REF!,'SEM 02'!#REF!,'SEM 03'!C29,'SEM 04'!C29,'SEM 05'!C29,'SEM 06'!C29,'SEM 07'!C29,'SEM 08'!C29,'SEM 09'!C29,'SEM 10'!C29,'SEM 11'!C29,'SEM 12'!C29,'SEM 13'!C29,'SEM 14'!C29,'SEM 15'!C29,'SEM 16'!C29,'SEM 17'!C29,'SEM 18'!C29,'SEM 19'!C29,'SEM 20'!C29,'SEM 21'!C29,'SEM 22'!C29,'SEM 23'!C29,'SEM 24'!C29,'SEM 25'!C29,'SEM 26'!C29,'SEM 27'!C29,'SEM 28'!C29,'SEM 29'!C29,'SEM 30'!C29,'SEM 31'!C29,'SEM 32'!C29,'SEM 33'!C29,'SEM 34'!C29,'SEM 35'!C29,'SEM 36'!C29,'SEM 37'!C29,'SEM 38'!C29,'SEM 39'!C29,'SEM 39'!C29,'SEM 40'!C29,'SEM 41'!C29,'SEM 42'!C29,'SEM 43'!C29,'SEM 44'!C29,'SEM 45'!C29,'SEM 46'!C29,'SEM 47'!C29,'SEM 48'!C29,'SEM 49'!C29,'SEM 50'!C29,'SEM 51'!C29,'SEM 52'!C29)</f>
        <v>#REF!</v>
      </c>
      <c r="D29" s="10" t="e">
        <f>AVERAGE('SEM 01'!#REF!,'SEM 02'!#REF!,'SEM 03'!D29,'SEM 04'!D29,'SEM 05'!D29,'SEM 06'!D29,'SEM 07'!D29,'SEM 08'!D29,'SEM 09'!D29,'SEM 10'!D29,'SEM 11'!D29,'SEM 12'!D29,'SEM 13'!D29,'SEM 14'!D29,'SEM 15'!D29,'SEM 16'!D29,'SEM 17'!D29,'SEM 18'!D29,'SEM 19'!D29,'SEM 20'!D29,'SEM 21'!D29,'SEM 22'!D29,'SEM 23'!D29,'SEM 24'!D29,'SEM 25'!D29,'SEM 26'!D29,'SEM 27'!D29,'SEM 28'!D29,'SEM 29'!D29,'SEM 30'!D29,'SEM 31'!D29,'SEM 32'!D29,'SEM 33'!D29,'SEM 34'!D29,'SEM 35'!D29,'SEM 36'!D29,'SEM 37'!D29,'SEM 38'!D29,'SEM 39'!D29,'SEM 39'!D29,'SEM 40'!D29,'SEM 41'!D29,'SEM 42'!D29,'SEM 43'!D29,'SEM 44'!D29,'SEM 45'!D29,'SEM 46'!D29,'SEM 47'!D29,'SEM 48'!D29,'SEM 49'!D29,'SEM 50'!D29,'SEM 51'!D29,'SEM 52'!D29)</f>
        <v>#REF!</v>
      </c>
      <c r="E29" s="10" t="e">
        <f>AVERAGE('SEM 01'!#REF!,'SEM 02'!#REF!,'SEM 03'!E29,'SEM 04'!E29,'SEM 05'!E29,'SEM 06'!E29,'SEM 07'!E29,'SEM 08'!E29,'SEM 09'!E29,'SEM 10'!E29,'SEM 11'!E29,'SEM 12'!E29,'SEM 13'!E29,'SEM 14'!E29,'SEM 15'!E29,'SEM 16'!E29,'SEM 17'!E29,'SEM 18'!E29,'SEM 19'!E29,'SEM 20'!E29,'SEM 21'!E29,'SEM 22'!E29,'SEM 23'!E29,'SEM 24'!E29,'SEM 25'!E29,'SEM 26'!E29,'SEM 27'!E29,'SEM 28'!E29,'SEM 29'!E29,'SEM 30'!E29,'SEM 31'!E29,'SEM 32'!E29,'SEM 33'!E29,'SEM 34'!E29,'SEM 35'!E29,'SEM 36'!E29,'SEM 37'!E29,'SEM 38'!E29,'SEM 39'!E29,'SEM 39'!E29,'SEM 40'!E29,'SEM 41'!E29,'SEM 42'!E29,'SEM 43'!E29,'SEM 44'!E29,'SEM 45'!E29,'SEM 46'!E29,'SEM 47'!E29,'SEM 48'!E29,'SEM 49'!E29,'SEM 50'!E29,'SEM 51'!E29,'SEM 52'!E29)</f>
        <v>#REF!</v>
      </c>
      <c r="F29" s="11" t="e">
        <f t="shared" si="0"/>
        <v>#REF!</v>
      </c>
      <c r="G29" s="12" t="e">
        <f t="shared" si="2"/>
        <v>#REF!</v>
      </c>
      <c r="H29" s="20" t="e">
        <f t="shared" si="3"/>
        <v>#REF!</v>
      </c>
      <c r="I29" s="21"/>
      <c r="J29" s="22" t="e">
        <f t="shared" si="1"/>
        <v>#REF!</v>
      </c>
    </row>
    <row r="30" spans="1:10" x14ac:dyDescent="0.3">
      <c r="A30" s="1"/>
      <c r="B30" s="16" t="s">
        <v>35</v>
      </c>
      <c r="C30" s="10" t="e">
        <f>AVERAGE('SEM 01'!#REF!,'SEM 02'!#REF!,'SEM 03'!C30,'SEM 04'!C30,'SEM 05'!C30,'SEM 06'!C30,'SEM 07'!C30,'SEM 08'!C30,'SEM 09'!C30,'SEM 10'!C30,'SEM 11'!C30,'SEM 12'!C30,'SEM 13'!C30,'SEM 14'!C30,'SEM 15'!C30,'SEM 16'!C30,'SEM 17'!C30,'SEM 18'!C30,'SEM 19'!C30,'SEM 20'!C30,'SEM 21'!C30,'SEM 22'!C30,'SEM 23'!C30,'SEM 24'!C30,'SEM 25'!C30,'SEM 26'!C30,'SEM 27'!C30,'SEM 28'!C30,'SEM 29'!C30,'SEM 30'!C30,'SEM 31'!C30,'SEM 32'!C30,'SEM 33'!C30,'SEM 34'!C30,'SEM 35'!C30,'SEM 36'!C30,'SEM 37'!C30,'SEM 38'!C30,'SEM 39'!C30,'SEM 39'!C30,'SEM 40'!C30,'SEM 41'!C30,'SEM 42'!C30,'SEM 43'!C30,'SEM 44'!C30,'SEM 45'!C30,'SEM 46'!C30,'SEM 47'!C30,'SEM 48'!C30,'SEM 49'!C30,'SEM 50'!C30,'SEM 51'!C30,'SEM 52'!C30)</f>
        <v>#REF!</v>
      </c>
      <c r="D30" s="10" t="e">
        <f>AVERAGE('SEM 01'!#REF!,'SEM 02'!#REF!,'SEM 03'!D30,'SEM 04'!D30,'SEM 05'!D30,'SEM 06'!D30,'SEM 07'!D30,'SEM 08'!D30,'SEM 09'!D30,'SEM 10'!D30,'SEM 11'!D30,'SEM 12'!D30,'SEM 13'!D30,'SEM 14'!D30,'SEM 15'!D30,'SEM 16'!D30,'SEM 17'!D30,'SEM 18'!D30,'SEM 19'!D30,'SEM 20'!D30,'SEM 21'!D30,'SEM 22'!D30,'SEM 23'!D30,'SEM 24'!D30,'SEM 25'!D30,'SEM 26'!D30,'SEM 27'!D30,'SEM 28'!D30,'SEM 29'!D30,'SEM 30'!D30,'SEM 31'!D30,'SEM 32'!D30,'SEM 33'!D30,'SEM 34'!D30,'SEM 35'!D30,'SEM 36'!D30,'SEM 37'!D30,'SEM 38'!D30,'SEM 39'!D30,'SEM 39'!D30,'SEM 40'!D30,'SEM 41'!D30,'SEM 42'!D30,'SEM 43'!D30,'SEM 44'!D30,'SEM 45'!D30,'SEM 46'!D30,'SEM 47'!D30,'SEM 48'!D30,'SEM 49'!D30,'SEM 50'!D30,'SEM 51'!D30,'SEM 52'!D30)</f>
        <v>#REF!</v>
      </c>
      <c r="E30" s="10" t="e">
        <f>AVERAGE('SEM 01'!#REF!,'SEM 02'!#REF!,'SEM 03'!E30,'SEM 04'!E30,'SEM 05'!E30,'SEM 06'!E30,'SEM 07'!E30,'SEM 08'!E30,'SEM 09'!E30,'SEM 10'!E30,'SEM 11'!E30,'SEM 12'!E30,'SEM 13'!E30,'SEM 14'!E30,'SEM 15'!E30,'SEM 16'!E30,'SEM 17'!E30,'SEM 18'!E30,'SEM 19'!E30,'SEM 20'!E30,'SEM 21'!E30,'SEM 22'!E30,'SEM 23'!E30,'SEM 24'!E30,'SEM 25'!E30,'SEM 26'!E30,'SEM 27'!E30,'SEM 28'!E30,'SEM 29'!E30,'SEM 30'!E30,'SEM 31'!E30,'SEM 32'!E30,'SEM 33'!E30,'SEM 34'!E30,'SEM 35'!E30,'SEM 36'!E30,'SEM 37'!E30,'SEM 38'!E30,'SEM 39'!E30,'SEM 39'!E30,'SEM 40'!E30,'SEM 41'!E30,'SEM 42'!E30,'SEM 43'!E30,'SEM 44'!E30,'SEM 45'!E30,'SEM 46'!E30,'SEM 47'!E30,'SEM 48'!E30,'SEM 49'!E30,'SEM 50'!E30,'SEM 51'!E30,'SEM 52'!E30)</f>
        <v>#REF!</v>
      </c>
      <c r="F30" s="11" t="e">
        <f t="shared" si="0"/>
        <v>#REF!</v>
      </c>
      <c r="G30" s="12" t="e">
        <f t="shared" si="2"/>
        <v>#REF!</v>
      </c>
      <c r="H30" s="20" t="e">
        <f t="shared" si="3"/>
        <v>#REF!</v>
      </c>
      <c r="I30" s="21"/>
      <c r="J30" s="22" t="e">
        <f t="shared" si="1"/>
        <v>#REF!</v>
      </c>
    </row>
    <row r="31" spans="1:10" x14ac:dyDescent="0.3">
      <c r="A31" s="1"/>
      <c r="B31" s="16"/>
      <c r="C31" s="17"/>
      <c r="D31" s="24"/>
      <c r="E31" s="19"/>
      <c r="F31" s="52"/>
      <c r="G31" s="53"/>
      <c r="H31" s="20"/>
      <c r="I31" s="21"/>
      <c r="J31" s="22"/>
    </row>
    <row r="32" spans="1:10" x14ac:dyDescent="0.3">
      <c r="A32" s="1"/>
      <c r="B32" s="16"/>
      <c r="C32" s="17"/>
      <c r="D32" s="24"/>
      <c r="E32" s="19"/>
      <c r="F32" s="52"/>
      <c r="G32" s="53"/>
      <c r="H32" s="20"/>
      <c r="I32" s="21"/>
      <c r="J32" s="22"/>
    </row>
    <row r="33" spans="1:10" ht="15" thickBot="1" x14ac:dyDescent="0.35">
      <c r="A33" s="1"/>
      <c r="B33" s="25"/>
      <c r="C33" s="26"/>
      <c r="D33" s="27"/>
      <c r="E33" s="28"/>
      <c r="F33" s="29"/>
      <c r="G33" s="30"/>
      <c r="H33" s="31"/>
      <c r="I33" s="32"/>
      <c r="J33" s="33"/>
    </row>
    <row r="34" spans="1:10" ht="15" thickBot="1" x14ac:dyDescent="0.35">
      <c r="A34" s="1">
        <v>2</v>
      </c>
      <c r="B34" s="16" t="s">
        <v>36</v>
      </c>
      <c r="C34" s="23"/>
      <c r="D34" s="34" t="e">
        <f>IF(A34=1,SUMIF(A3:A33,1,D3:D33)/D40,SUMIF(A3:A33,2,D3:D33)/D41)</f>
        <v>#REF!</v>
      </c>
      <c r="E34" s="34" t="e">
        <f>IF(A34=1,SUMIF(A3:A33,1,E3:E33)/D40,SUMIF(A3:A33,2,E3:E33)/D41)</f>
        <v>#REF!</v>
      </c>
      <c r="F34" s="35" t="e">
        <f>IF(((E34/$F$38)*100)&gt;99,(E34/$F$38)*100,E34)</f>
        <v>#REF!</v>
      </c>
      <c r="G34" s="36">
        <f t="shared" ref="G34:G36" si="4">(IF(C34=100,IF(D34&gt;80,IF(F34&gt;79,F34,0),0),0))</f>
        <v>0</v>
      </c>
      <c r="H34" s="37" t="e">
        <f t="shared" ref="H34:H37" si="5">IF(C34=100,10,0)+IF(D34=100,10,0)+IF(F34&gt;70,(F34*0.6),(F34*0.3))+(G34*0.2)</f>
        <v>#REF!</v>
      </c>
      <c r="I34" s="21"/>
      <c r="J34" s="22" t="e">
        <f t="shared" ref="J34:J37" si="6">I34*H34/100</f>
        <v>#REF!</v>
      </c>
    </row>
    <row r="35" spans="1:10" ht="15" thickBot="1" x14ac:dyDescent="0.35">
      <c r="A35" s="1">
        <v>1</v>
      </c>
      <c r="B35" s="16" t="s">
        <v>37</v>
      </c>
      <c r="C35" s="23"/>
      <c r="D35" s="38" t="e">
        <f>IF(A35=1,SUMIF(A4:A33,1,D4:D33)/D40,SUMIF(A4:A33,2,D4:D33)/D41)</f>
        <v>#REF!</v>
      </c>
      <c r="E35" s="38" t="e">
        <f>IF(A35=1,SUMIF(A4:A33,1,E4:E33)/D40,SUMIF(A4:A33,2,E4:E33)/D41)</f>
        <v>#REF!</v>
      </c>
      <c r="F35" s="39" t="e">
        <f>IF(((E35/$F$38)*100)&gt;99,(E35/$F$38)*100,E35)</f>
        <v>#REF!</v>
      </c>
      <c r="G35" s="36">
        <f t="shared" si="4"/>
        <v>0</v>
      </c>
      <c r="H35" s="37" t="e">
        <f t="shared" si="5"/>
        <v>#REF!</v>
      </c>
      <c r="I35" s="21"/>
      <c r="J35" s="22" t="e">
        <f t="shared" si="6"/>
        <v>#REF!</v>
      </c>
    </row>
    <row r="36" spans="1:10" ht="15" thickBot="1" x14ac:dyDescent="0.35">
      <c r="A36" s="1" t="s">
        <v>38</v>
      </c>
      <c r="B36" s="16" t="s">
        <v>39</v>
      </c>
      <c r="C36" s="23"/>
      <c r="D36" s="40" t="e">
        <f>AVERAGE(D4:D30)</f>
        <v>#REF!</v>
      </c>
      <c r="E36" s="40" t="e">
        <f>AVERAGE(E3:E35)</f>
        <v>#REF!</v>
      </c>
      <c r="F36" s="41" t="e">
        <f>IF(((E36/$F$38)*100)&gt;99,(E36/$F$38)*100,E36)</f>
        <v>#REF!</v>
      </c>
      <c r="G36" s="36">
        <f t="shared" si="4"/>
        <v>0</v>
      </c>
      <c r="H36" s="37" t="e">
        <f t="shared" si="5"/>
        <v>#REF!</v>
      </c>
      <c r="I36" s="21"/>
      <c r="J36" s="22" t="e">
        <f t="shared" si="6"/>
        <v>#REF!</v>
      </c>
    </row>
    <row r="37" spans="1:10" ht="15" thickBot="1" x14ac:dyDescent="0.35">
      <c r="A37" s="1" t="s">
        <v>38</v>
      </c>
      <c r="B37" s="42" t="s">
        <v>40</v>
      </c>
      <c r="C37" s="43"/>
      <c r="D37" s="44" t="e">
        <f>MAX(D34:D36)</f>
        <v>#REF!</v>
      </c>
      <c r="E37" s="44" t="e">
        <f>(C37+D37+MAX(E4:E30))/3</f>
        <v>#REF!</v>
      </c>
      <c r="F37" s="35" t="e">
        <f>IF(((E37/$F$38)*100)&gt;99,(E37/$F$38)*100,E37)</f>
        <v>#REF!</v>
      </c>
      <c r="G37" s="36">
        <f>(IF(C37=100,IF(D37&gt;80,IF(F37&gt;79,F37,0),0),0))</f>
        <v>0</v>
      </c>
      <c r="H37" s="37" t="e">
        <f t="shared" si="5"/>
        <v>#REF!</v>
      </c>
      <c r="I37" s="45"/>
      <c r="J37" s="46" t="e">
        <f t="shared" si="6"/>
        <v>#REF!</v>
      </c>
    </row>
    <row r="38" spans="1:10" x14ac:dyDescent="0.3">
      <c r="A38" s="55"/>
      <c r="B38" s="59"/>
      <c r="C38" s="62"/>
      <c r="D38" s="65"/>
      <c r="E38" s="65" t="s">
        <v>41</v>
      </c>
      <c r="F38" s="65">
        <v>85</v>
      </c>
      <c r="G38" s="63"/>
      <c r="H38" s="66"/>
      <c r="J38" s="64"/>
    </row>
    <row r="39" spans="1:10" x14ac:dyDescent="0.3">
      <c r="A39" s="55"/>
      <c r="B39" s="59"/>
      <c r="C39" s="62"/>
      <c r="D39" s="65"/>
      <c r="E39" s="65"/>
      <c r="F39" s="65"/>
      <c r="G39" s="63"/>
      <c r="H39" s="66"/>
      <c r="J39" s="64"/>
    </row>
    <row r="40" spans="1:10" x14ac:dyDescent="0.3">
      <c r="A40" s="55"/>
      <c r="B40" s="59"/>
      <c r="C40" s="62" t="s">
        <v>42</v>
      </c>
      <c r="D40" s="65">
        <v>16</v>
      </c>
      <c r="E40" s="65"/>
      <c r="F40" s="65"/>
      <c r="G40" s="63"/>
      <c r="H40" s="66"/>
      <c r="J40" s="64"/>
    </row>
    <row r="41" spans="1:10" x14ac:dyDescent="0.3">
      <c r="C41" s="58" t="s">
        <v>43</v>
      </c>
      <c r="D41" s="58">
        <v>9</v>
      </c>
    </row>
    <row r="42" spans="1:10" x14ac:dyDescent="0.3">
      <c r="C42" s="58" t="s">
        <v>44</v>
      </c>
      <c r="D42" s="58">
        <v>0</v>
      </c>
    </row>
    <row r="45" spans="1:10" x14ac:dyDescent="0.3">
      <c r="C45" s="58">
        <v>100</v>
      </c>
      <c r="D45" s="58">
        <v>130</v>
      </c>
    </row>
  </sheetData>
  <mergeCells count="1">
    <mergeCell ref="A1:B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6E267-7082-49BA-81E4-E61613640681}">
  <sheetPr codeName="Hoja52"/>
  <dimension ref="A1:J42"/>
  <sheetViews>
    <sheetView workbookViewId="0">
      <selection activeCell="B29" sqref="B29"/>
    </sheetView>
  </sheetViews>
  <sheetFormatPr baseColWidth="10" defaultColWidth="11.44140625" defaultRowHeight="14.4" x14ac:dyDescent="0.3"/>
  <cols>
    <col min="1" max="16384" width="11.44140625" style="58"/>
  </cols>
  <sheetData>
    <row r="1" spans="1:10" ht="15" thickBot="1" x14ac:dyDescent="0.35">
      <c r="A1" s="68"/>
      <c r="B1" s="68"/>
      <c r="C1" s="68"/>
      <c r="D1" s="68"/>
      <c r="E1" s="68"/>
      <c r="F1" s="68"/>
      <c r="G1" s="68"/>
      <c r="H1" s="68"/>
      <c r="I1" s="68"/>
      <c r="J1" s="68"/>
    </row>
    <row r="2" spans="1:10" ht="29.4" thickBot="1" x14ac:dyDescent="0.35">
      <c r="A2" s="115" t="s">
        <v>46</v>
      </c>
      <c r="B2" s="74" t="s">
        <v>0</v>
      </c>
      <c r="C2" s="70" t="s">
        <v>1</v>
      </c>
      <c r="D2" s="71" t="s">
        <v>2</v>
      </c>
      <c r="E2" s="72" t="s">
        <v>3</v>
      </c>
      <c r="F2" s="73" t="s">
        <v>4</v>
      </c>
      <c r="G2" s="74" t="s">
        <v>5</v>
      </c>
      <c r="H2" s="75" t="s">
        <v>6</v>
      </c>
      <c r="I2" s="75" t="s">
        <v>7</v>
      </c>
      <c r="J2" s="76" t="s">
        <v>8</v>
      </c>
    </row>
    <row r="3" spans="1:10" ht="15" thickBot="1" x14ac:dyDescent="0.35">
      <c r="A3" s="69">
        <v>2</v>
      </c>
      <c r="B3" s="80" t="s">
        <v>10</v>
      </c>
      <c r="C3" s="81"/>
      <c r="D3" s="82"/>
      <c r="E3" s="83"/>
      <c r="F3" s="78">
        <v>0</v>
      </c>
      <c r="G3" s="79">
        <v>0</v>
      </c>
      <c r="H3" s="84">
        <v>0</v>
      </c>
      <c r="I3" s="85"/>
      <c r="J3" s="86">
        <v>0</v>
      </c>
    </row>
    <row r="4" spans="1:10" ht="15" thickBot="1" x14ac:dyDescent="0.35">
      <c r="A4" s="69">
        <v>2</v>
      </c>
      <c r="B4" s="80" t="s">
        <v>11</v>
      </c>
      <c r="C4" s="81"/>
      <c r="D4" s="82"/>
      <c r="E4" s="83"/>
      <c r="F4" s="78">
        <v>0</v>
      </c>
      <c r="G4" s="79">
        <v>0</v>
      </c>
      <c r="H4" s="84">
        <v>0</v>
      </c>
      <c r="I4" s="85"/>
      <c r="J4" s="86">
        <v>0</v>
      </c>
    </row>
    <row r="5" spans="1:10" ht="15" thickBot="1" x14ac:dyDescent="0.35">
      <c r="A5" s="69">
        <v>1</v>
      </c>
      <c r="B5" s="80" t="s">
        <v>12</v>
      </c>
      <c r="C5" s="81"/>
      <c r="D5" s="82"/>
      <c r="E5" s="83"/>
      <c r="F5" s="78">
        <v>0</v>
      </c>
      <c r="G5" s="79">
        <v>0</v>
      </c>
      <c r="H5" s="84">
        <v>0</v>
      </c>
      <c r="I5" s="85"/>
      <c r="J5" s="86">
        <v>0</v>
      </c>
    </row>
    <row r="6" spans="1:10" ht="15" thickBot="1" x14ac:dyDescent="0.35">
      <c r="A6" s="69">
        <v>1</v>
      </c>
      <c r="B6" s="80" t="s">
        <v>13</v>
      </c>
      <c r="C6" s="81"/>
      <c r="D6" s="82"/>
      <c r="E6" s="83"/>
      <c r="F6" s="78">
        <v>0</v>
      </c>
      <c r="G6" s="79">
        <v>0</v>
      </c>
      <c r="H6" s="84">
        <v>0</v>
      </c>
      <c r="I6" s="85"/>
      <c r="J6" s="86">
        <v>0</v>
      </c>
    </row>
    <row r="7" spans="1:10" ht="15" thickBot="1" x14ac:dyDescent="0.35">
      <c r="A7" s="69">
        <v>1</v>
      </c>
      <c r="B7" s="80" t="s">
        <v>14</v>
      </c>
      <c r="C7" s="81"/>
      <c r="D7" s="82"/>
      <c r="E7" s="83"/>
      <c r="F7" s="78">
        <v>0</v>
      </c>
      <c r="G7" s="79">
        <v>0</v>
      </c>
      <c r="H7" s="84">
        <v>0</v>
      </c>
      <c r="I7" s="85"/>
      <c r="J7" s="86">
        <v>0</v>
      </c>
    </row>
    <row r="8" spans="1:10" ht="15" thickBot="1" x14ac:dyDescent="0.35">
      <c r="A8" s="69">
        <v>1</v>
      </c>
      <c r="B8" s="80" t="s">
        <v>15</v>
      </c>
      <c r="C8" s="81"/>
      <c r="D8" s="82"/>
      <c r="E8" s="83"/>
      <c r="F8" s="78">
        <v>0</v>
      </c>
      <c r="G8" s="79">
        <v>0</v>
      </c>
      <c r="H8" s="84">
        <v>0</v>
      </c>
      <c r="I8" s="85"/>
      <c r="J8" s="86">
        <v>0</v>
      </c>
    </row>
    <row r="9" spans="1:10" ht="15" thickBot="1" x14ac:dyDescent="0.35">
      <c r="A9" s="69">
        <v>1</v>
      </c>
      <c r="B9" s="80" t="s">
        <v>16</v>
      </c>
      <c r="C9" s="87"/>
      <c r="D9" s="82"/>
      <c r="E9" s="83"/>
      <c r="F9" s="78">
        <v>0</v>
      </c>
      <c r="G9" s="79">
        <v>0</v>
      </c>
      <c r="H9" s="84">
        <v>0</v>
      </c>
      <c r="I9" s="85"/>
      <c r="J9" s="86">
        <v>0</v>
      </c>
    </row>
    <row r="10" spans="1:10" ht="15" thickBot="1" x14ac:dyDescent="0.35">
      <c r="A10" s="69">
        <v>1</v>
      </c>
      <c r="B10" s="80" t="s">
        <v>17</v>
      </c>
      <c r="C10" s="81"/>
      <c r="D10" s="82"/>
      <c r="E10" s="83"/>
      <c r="F10" s="78">
        <v>0</v>
      </c>
      <c r="G10" s="79">
        <v>0</v>
      </c>
      <c r="H10" s="84">
        <v>0</v>
      </c>
      <c r="I10" s="85"/>
      <c r="J10" s="86">
        <v>0</v>
      </c>
    </row>
    <row r="11" spans="1:10" ht="15" thickBot="1" x14ac:dyDescent="0.35">
      <c r="A11" s="69">
        <v>2</v>
      </c>
      <c r="B11" s="80" t="s">
        <v>18</v>
      </c>
      <c r="C11" s="81"/>
      <c r="D11" s="82"/>
      <c r="E11" s="83"/>
      <c r="F11" s="78">
        <v>0</v>
      </c>
      <c r="G11" s="79">
        <v>0</v>
      </c>
      <c r="H11" s="84">
        <v>0</v>
      </c>
      <c r="I11" s="85"/>
      <c r="J11" s="86">
        <v>0</v>
      </c>
    </row>
    <row r="12" spans="1:10" ht="15" thickBot="1" x14ac:dyDescent="0.35">
      <c r="A12" s="69">
        <v>1</v>
      </c>
      <c r="B12" s="80" t="s">
        <v>19</v>
      </c>
      <c r="C12" s="81"/>
      <c r="D12" s="82"/>
      <c r="E12" s="83"/>
      <c r="F12" s="78">
        <v>0</v>
      </c>
      <c r="G12" s="79">
        <v>0</v>
      </c>
      <c r="H12" s="84">
        <v>0</v>
      </c>
      <c r="I12" s="85"/>
      <c r="J12" s="86">
        <v>0</v>
      </c>
    </row>
    <row r="13" spans="1:10" ht="15" thickBot="1" x14ac:dyDescent="0.35">
      <c r="A13" s="69">
        <v>2</v>
      </c>
      <c r="B13" s="80" t="s">
        <v>20</v>
      </c>
      <c r="C13" s="81"/>
      <c r="D13" s="82"/>
      <c r="E13" s="83"/>
      <c r="F13" s="78">
        <v>0</v>
      </c>
      <c r="G13" s="79">
        <v>0</v>
      </c>
      <c r="H13" s="84">
        <v>0</v>
      </c>
      <c r="I13" s="85"/>
      <c r="J13" s="86">
        <v>0</v>
      </c>
    </row>
    <row r="14" spans="1:10" ht="15" thickBot="1" x14ac:dyDescent="0.35">
      <c r="A14" s="69">
        <v>2</v>
      </c>
      <c r="B14" s="80" t="s">
        <v>21</v>
      </c>
      <c r="C14" s="81"/>
      <c r="D14" s="82"/>
      <c r="E14" s="83"/>
      <c r="F14" s="78">
        <v>0</v>
      </c>
      <c r="G14" s="79">
        <v>0</v>
      </c>
      <c r="H14" s="84">
        <v>0</v>
      </c>
      <c r="I14" s="85"/>
      <c r="J14" s="86">
        <v>0</v>
      </c>
    </row>
    <row r="15" spans="1:10" ht="15" thickBot="1" x14ac:dyDescent="0.35">
      <c r="A15" s="69">
        <v>2</v>
      </c>
      <c r="B15" s="80" t="s">
        <v>22</v>
      </c>
      <c r="C15" s="87"/>
      <c r="D15" s="82"/>
      <c r="E15" s="83"/>
      <c r="F15" s="78">
        <v>0</v>
      </c>
      <c r="G15" s="79">
        <v>0</v>
      </c>
      <c r="H15" s="84">
        <v>0</v>
      </c>
      <c r="I15" s="85"/>
      <c r="J15" s="86">
        <v>0</v>
      </c>
    </row>
    <row r="16" spans="1:10" ht="15" thickBot="1" x14ac:dyDescent="0.35">
      <c r="A16" s="69">
        <v>1</v>
      </c>
      <c r="B16" s="80" t="s">
        <v>23</v>
      </c>
      <c r="C16" s="87"/>
      <c r="D16" s="82"/>
      <c r="E16" s="83"/>
      <c r="F16" s="78">
        <v>0</v>
      </c>
      <c r="G16" s="79">
        <v>0</v>
      </c>
      <c r="H16" s="84">
        <v>0</v>
      </c>
      <c r="I16" s="85"/>
      <c r="J16" s="86">
        <v>0</v>
      </c>
    </row>
    <row r="17" spans="1:10" ht="15" thickBot="1" x14ac:dyDescent="0.35">
      <c r="A17" s="69">
        <v>1</v>
      </c>
      <c r="B17" s="80" t="s">
        <v>24</v>
      </c>
      <c r="C17" s="81"/>
      <c r="D17" s="82"/>
      <c r="E17" s="83"/>
      <c r="F17" s="78">
        <v>0</v>
      </c>
      <c r="G17" s="79">
        <v>0</v>
      </c>
      <c r="H17" s="84">
        <v>0</v>
      </c>
      <c r="I17" s="85"/>
      <c r="J17" s="86">
        <v>0</v>
      </c>
    </row>
    <row r="18" spans="1:10" ht="15" thickBot="1" x14ac:dyDescent="0.35">
      <c r="A18" s="69">
        <v>1</v>
      </c>
      <c r="B18" s="80" t="s">
        <v>25</v>
      </c>
      <c r="C18" s="81"/>
      <c r="D18" s="82"/>
      <c r="E18" s="83"/>
      <c r="F18" s="78">
        <v>0</v>
      </c>
      <c r="G18" s="79">
        <v>0</v>
      </c>
      <c r="H18" s="84">
        <v>0</v>
      </c>
      <c r="I18" s="85"/>
      <c r="J18" s="86">
        <v>0</v>
      </c>
    </row>
    <row r="19" spans="1:10" ht="15" thickBot="1" x14ac:dyDescent="0.35">
      <c r="A19" s="69">
        <v>1</v>
      </c>
      <c r="B19" s="80" t="s">
        <v>26</v>
      </c>
      <c r="C19" s="81"/>
      <c r="D19" s="88"/>
      <c r="E19" s="83"/>
      <c r="F19" s="78">
        <v>0</v>
      </c>
      <c r="G19" s="79">
        <v>0</v>
      </c>
      <c r="H19" s="84">
        <v>0</v>
      </c>
      <c r="I19" s="85"/>
      <c r="J19" s="86">
        <v>0</v>
      </c>
    </row>
    <row r="20" spans="1:10" ht="15" thickBot="1" x14ac:dyDescent="0.35">
      <c r="A20" s="69">
        <v>1</v>
      </c>
      <c r="B20" s="80" t="s">
        <v>27</v>
      </c>
      <c r="C20" s="81"/>
      <c r="D20" s="88"/>
      <c r="E20" s="83"/>
      <c r="F20" s="78">
        <v>0</v>
      </c>
      <c r="G20" s="79">
        <v>0</v>
      </c>
      <c r="H20" s="84">
        <v>0</v>
      </c>
      <c r="I20" s="85"/>
      <c r="J20" s="86">
        <v>0</v>
      </c>
    </row>
    <row r="21" spans="1:10" ht="15" thickBot="1" x14ac:dyDescent="0.35">
      <c r="A21" s="69">
        <v>1</v>
      </c>
      <c r="B21" s="80" t="s">
        <v>28</v>
      </c>
      <c r="C21" s="81"/>
      <c r="D21" s="88"/>
      <c r="E21" s="83"/>
      <c r="F21" s="78">
        <v>0</v>
      </c>
      <c r="G21" s="79">
        <v>0</v>
      </c>
      <c r="H21" s="84">
        <v>0</v>
      </c>
      <c r="I21" s="85"/>
      <c r="J21" s="86">
        <v>0</v>
      </c>
    </row>
    <row r="22" spans="1:10" ht="15" thickBot="1" x14ac:dyDescent="0.35">
      <c r="A22" s="69">
        <v>1</v>
      </c>
      <c r="B22" s="80" t="s">
        <v>29</v>
      </c>
      <c r="C22" s="81"/>
      <c r="D22" s="88"/>
      <c r="E22" s="83"/>
      <c r="F22" s="78">
        <v>0</v>
      </c>
      <c r="G22" s="79">
        <v>0</v>
      </c>
      <c r="H22" s="84">
        <v>0</v>
      </c>
      <c r="I22" s="85"/>
      <c r="J22" s="86">
        <v>0</v>
      </c>
    </row>
    <row r="23" spans="1:10" ht="15" thickBot="1" x14ac:dyDescent="0.35">
      <c r="A23" s="69">
        <v>2</v>
      </c>
      <c r="B23" s="80" t="s">
        <v>30</v>
      </c>
      <c r="C23" s="81"/>
      <c r="D23" s="88"/>
      <c r="E23" s="83"/>
      <c r="F23" s="78">
        <v>0</v>
      </c>
      <c r="G23" s="79">
        <v>0</v>
      </c>
      <c r="H23" s="84">
        <v>0</v>
      </c>
      <c r="I23" s="85"/>
      <c r="J23" s="86">
        <v>0</v>
      </c>
    </row>
    <row r="24" spans="1:10" ht="15" thickBot="1" x14ac:dyDescent="0.35">
      <c r="A24" s="69">
        <v>2</v>
      </c>
      <c r="B24" s="80" t="s">
        <v>31</v>
      </c>
      <c r="C24" s="81"/>
      <c r="D24" s="88"/>
      <c r="E24" s="83"/>
      <c r="F24" s="78">
        <v>0</v>
      </c>
      <c r="G24" s="79">
        <v>0</v>
      </c>
      <c r="H24" s="84">
        <v>0</v>
      </c>
      <c r="I24" s="85"/>
      <c r="J24" s="86">
        <v>0</v>
      </c>
    </row>
    <row r="25" spans="1:10" ht="15" thickBot="1" x14ac:dyDescent="0.35">
      <c r="A25" s="69">
        <v>1</v>
      </c>
      <c r="B25" s="80" t="s">
        <v>32</v>
      </c>
      <c r="C25" s="81"/>
      <c r="D25" s="88"/>
      <c r="E25" s="83"/>
      <c r="F25" s="78">
        <v>0</v>
      </c>
      <c r="G25" s="79">
        <v>0</v>
      </c>
      <c r="H25" s="84">
        <v>0</v>
      </c>
      <c r="I25" s="85"/>
      <c r="J25" s="86">
        <v>0</v>
      </c>
    </row>
    <row r="26" spans="1:10" ht="15" thickBot="1" x14ac:dyDescent="0.35">
      <c r="A26" s="69">
        <v>2</v>
      </c>
      <c r="B26" s="80" t="s">
        <v>33</v>
      </c>
      <c r="C26" s="81"/>
      <c r="D26" s="88"/>
      <c r="E26" s="83"/>
      <c r="F26" s="78">
        <v>0</v>
      </c>
      <c r="G26" s="79">
        <v>0</v>
      </c>
      <c r="H26" s="84">
        <v>0</v>
      </c>
      <c r="I26" s="85"/>
      <c r="J26" s="86">
        <v>0</v>
      </c>
    </row>
    <row r="27" spans="1:10" ht="15" thickBot="1" x14ac:dyDescent="0.35">
      <c r="A27" s="69"/>
      <c r="B27" s="80" t="s">
        <v>34</v>
      </c>
      <c r="C27" s="81"/>
      <c r="D27" s="88"/>
      <c r="E27" s="83"/>
      <c r="F27" s="78">
        <v>0</v>
      </c>
      <c r="G27" s="79">
        <v>0</v>
      </c>
      <c r="H27" s="84">
        <v>0</v>
      </c>
      <c r="I27" s="85"/>
      <c r="J27" s="86">
        <v>0</v>
      </c>
    </row>
    <row r="28" spans="1:10" x14ac:dyDescent="0.3">
      <c r="A28" s="69"/>
      <c r="B28" s="80" t="s">
        <v>35</v>
      </c>
      <c r="C28" s="81"/>
      <c r="D28" s="88"/>
      <c r="E28" s="83"/>
      <c r="F28" s="78">
        <v>0</v>
      </c>
      <c r="G28" s="79">
        <v>0</v>
      </c>
      <c r="H28" s="84">
        <v>0</v>
      </c>
      <c r="I28" s="85"/>
      <c r="J28" s="86">
        <v>0</v>
      </c>
    </row>
    <row r="29" spans="1:10" x14ac:dyDescent="0.3">
      <c r="A29" s="69"/>
      <c r="B29" s="80"/>
      <c r="C29" s="81"/>
      <c r="D29" s="88"/>
      <c r="E29" s="83"/>
      <c r="F29" s="116"/>
      <c r="G29" s="117"/>
      <c r="H29" s="84"/>
      <c r="I29" s="85"/>
      <c r="J29" s="86"/>
    </row>
    <row r="30" spans="1:10" x14ac:dyDescent="0.3">
      <c r="A30" s="69"/>
      <c r="B30" s="80"/>
      <c r="C30" s="81"/>
      <c r="D30" s="88"/>
      <c r="E30" s="83"/>
      <c r="F30" s="116"/>
      <c r="G30" s="117"/>
      <c r="H30" s="84"/>
      <c r="I30" s="85"/>
      <c r="J30" s="86"/>
    </row>
    <row r="31" spans="1:10" ht="15" thickBot="1" x14ac:dyDescent="0.35">
      <c r="A31" s="69"/>
      <c r="B31" s="89"/>
      <c r="C31" s="90"/>
      <c r="D31" s="91"/>
      <c r="E31" s="92"/>
      <c r="F31" s="93"/>
      <c r="G31" s="94"/>
      <c r="H31" s="95"/>
      <c r="I31" s="96"/>
      <c r="J31" s="97"/>
    </row>
    <row r="32" spans="1:10" ht="15" thickBot="1" x14ac:dyDescent="0.35">
      <c r="A32" s="69">
        <v>2</v>
      </c>
      <c r="B32" s="80" t="s">
        <v>36</v>
      </c>
      <c r="C32" s="87"/>
      <c r="D32" s="98">
        <v>0</v>
      </c>
      <c r="E32" s="98">
        <v>0</v>
      </c>
      <c r="F32" s="99">
        <v>0</v>
      </c>
      <c r="G32" s="100">
        <v>0</v>
      </c>
      <c r="H32" s="101">
        <v>0</v>
      </c>
      <c r="I32" s="85"/>
      <c r="J32" s="86">
        <v>0</v>
      </c>
    </row>
    <row r="33" spans="1:10" ht="15" thickBot="1" x14ac:dyDescent="0.35">
      <c r="A33" s="69">
        <v>1</v>
      </c>
      <c r="B33" s="80" t="s">
        <v>37</v>
      </c>
      <c r="C33" s="87"/>
      <c r="D33" s="102">
        <v>0</v>
      </c>
      <c r="E33" s="102">
        <v>0</v>
      </c>
      <c r="F33" s="103">
        <v>0</v>
      </c>
      <c r="G33" s="100">
        <v>0</v>
      </c>
      <c r="H33" s="101">
        <v>0</v>
      </c>
      <c r="I33" s="85"/>
      <c r="J33" s="86">
        <v>0</v>
      </c>
    </row>
    <row r="34" spans="1:10" ht="15" thickBot="1" x14ac:dyDescent="0.35">
      <c r="A34" s="69" t="s">
        <v>38</v>
      </c>
      <c r="B34" s="80" t="s">
        <v>39</v>
      </c>
      <c r="C34" s="87"/>
      <c r="D34" s="104" t="e">
        <v>#DIV/0!</v>
      </c>
      <c r="E34" s="104">
        <v>0</v>
      </c>
      <c r="F34" s="105">
        <v>0</v>
      </c>
      <c r="G34" s="100">
        <v>0</v>
      </c>
      <c r="H34" s="101" t="e">
        <v>#DIV/0!</v>
      </c>
      <c r="I34" s="85"/>
      <c r="J34" s="86" t="e">
        <v>#DIV/0!</v>
      </c>
    </row>
    <row r="35" spans="1:10" ht="15" thickBot="1" x14ac:dyDescent="0.35">
      <c r="A35" s="69" t="s">
        <v>38</v>
      </c>
      <c r="B35" s="106" t="s">
        <v>40</v>
      </c>
      <c r="C35" s="107"/>
      <c r="D35" s="108" t="e">
        <v>#DIV/0!</v>
      </c>
      <c r="E35" s="108" t="e">
        <v>#DIV/0!</v>
      </c>
      <c r="F35" s="99" t="e">
        <v>#DIV/0!</v>
      </c>
      <c r="G35" s="100">
        <v>0</v>
      </c>
      <c r="H35" s="101" t="e">
        <v>#DIV/0!</v>
      </c>
      <c r="I35" s="109"/>
      <c r="J35" s="110" t="e">
        <v>#DIV/0!</v>
      </c>
    </row>
    <row r="36" spans="1:10" x14ac:dyDescent="0.3">
      <c r="A36" s="69"/>
      <c r="B36" s="68"/>
      <c r="C36" s="111"/>
      <c r="D36" s="112"/>
      <c r="E36" s="68" t="s">
        <v>41</v>
      </c>
      <c r="F36" s="68">
        <v>85</v>
      </c>
      <c r="G36" s="68"/>
      <c r="H36" s="68"/>
      <c r="I36" s="68"/>
      <c r="J36" s="68"/>
    </row>
    <row r="37" spans="1:10" x14ac:dyDescent="0.3">
      <c r="A37" s="69"/>
      <c r="B37" s="68"/>
      <c r="C37" s="113"/>
      <c r="D37" s="113"/>
      <c r="E37" s="68"/>
      <c r="F37" s="68"/>
      <c r="G37" s="68"/>
      <c r="H37" s="68"/>
      <c r="I37" s="68"/>
      <c r="J37" s="68"/>
    </row>
    <row r="38" spans="1:10" x14ac:dyDescent="0.3">
      <c r="A38" s="69"/>
      <c r="B38" s="68"/>
      <c r="C38" s="113" t="s">
        <v>42</v>
      </c>
      <c r="D38" s="113">
        <v>16</v>
      </c>
      <c r="E38" s="68"/>
      <c r="F38" s="68"/>
      <c r="G38" s="68"/>
      <c r="H38" s="68"/>
      <c r="I38" s="68"/>
      <c r="J38" s="68"/>
    </row>
    <row r="39" spans="1:10" x14ac:dyDescent="0.3">
      <c r="A39" s="69"/>
      <c r="B39" s="68"/>
      <c r="C39" s="113" t="s">
        <v>43</v>
      </c>
      <c r="D39" s="113">
        <v>9</v>
      </c>
      <c r="E39" s="68"/>
      <c r="F39" s="68"/>
      <c r="G39" s="68"/>
      <c r="H39" s="68"/>
      <c r="I39" s="68"/>
      <c r="J39" s="68"/>
    </row>
    <row r="40" spans="1:10" x14ac:dyDescent="0.3">
      <c r="A40" s="69"/>
      <c r="B40" s="68"/>
      <c r="C40" s="113" t="s">
        <v>44</v>
      </c>
      <c r="D40" s="113">
        <v>0</v>
      </c>
      <c r="E40" s="68"/>
      <c r="F40" s="68"/>
      <c r="G40" s="68"/>
      <c r="H40" s="68"/>
      <c r="I40" s="68"/>
      <c r="J40" s="68"/>
    </row>
    <row r="41" spans="1:10" x14ac:dyDescent="0.3">
      <c r="A41" s="69"/>
      <c r="B41" s="68"/>
      <c r="C41" s="113"/>
      <c r="D41" s="113"/>
      <c r="E41" s="68"/>
      <c r="F41" s="68"/>
      <c r="G41" s="68"/>
      <c r="H41" s="68"/>
      <c r="I41" s="68"/>
      <c r="J41" s="68"/>
    </row>
    <row r="42" spans="1:10" x14ac:dyDescent="0.3">
      <c r="A42" s="69"/>
      <c r="B42" s="68"/>
      <c r="C42" s="114"/>
      <c r="D42" s="114"/>
      <c r="E42" s="68"/>
      <c r="F42" s="68"/>
      <c r="G42" s="68"/>
      <c r="H42" s="68"/>
      <c r="I42" s="68"/>
      <c r="J42" s="6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3D09-AC22-4010-B5AA-3E716BE546DA}">
  <sheetPr codeName="Hoja53"/>
  <dimension ref="A1:J42"/>
  <sheetViews>
    <sheetView workbookViewId="0">
      <selection activeCell="B29" sqref="B29"/>
    </sheetView>
  </sheetViews>
  <sheetFormatPr baseColWidth="10" defaultColWidth="11.44140625" defaultRowHeight="14.4" x14ac:dyDescent="0.3"/>
  <cols>
    <col min="1" max="16384" width="11.44140625" style="58"/>
  </cols>
  <sheetData>
    <row r="1" spans="1:10" ht="15" thickBot="1" x14ac:dyDescent="0.35">
      <c r="A1"/>
      <c r="B1"/>
      <c r="C1"/>
      <c r="D1"/>
      <c r="E1"/>
      <c r="F1"/>
      <c r="G1"/>
      <c r="H1"/>
      <c r="I1"/>
      <c r="J1"/>
    </row>
    <row r="2" spans="1:10" ht="29.4" thickBot="1" x14ac:dyDescent="0.35">
      <c r="A2" s="51" t="s">
        <v>46</v>
      </c>
      <c r="B2" s="6" t="s">
        <v>0</v>
      </c>
      <c r="C2" s="2" t="s">
        <v>1</v>
      </c>
      <c r="D2" s="3" t="s">
        <v>2</v>
      </c>
      <c r="E2" s="4" t="s">
        <v>3</v>
      </c>
      <c r="F2" s="5" t="s">
        <v>4</v>
      </c>
      <c r="G2" s="6" t="s">
        <v>5</v>
      </c>
      <c r="H2" s="7" t="s">
        <v>6</v>
      </c>
      <c r="I2" s="7" t="s">
        <v>7</v>
      </c>
      <c r="J2" s="8" t="s">
        <v>8</v>
      </c>
    </row>
    <row r="3" spans="1:10" ht="15" thickBot="1" x14ac:dyDescent="0.35">
      <c r="A3" s="1">
        <v>2</v>
      </c>
      <c r="B3" s="16" t="s">
        <v>10</v>
      </c>
      <c r="C3" s="17"/>
      <c r="D3" s="18"/>
      <c r="E3" s="19"/>
      <c r="F3" s="11">
        <v>0</v>
      </c>
      <c r="G3" s="12">
        <v>0</v>
      </c>
      <c r="H3" s="20">
        <v>0</v>
      </c>
      <c r="I3" s="21"/>
      <c r="J3" s="22">
        <v>0</v>
      </c>
    </row>
    <row r="4" spans="1:10" ht="15" thickBot="1" x14ac:dyDescent="0.35">
      <c r="A4" s="1">
        <v>2</v>
      </c>
      <c r="B4" s="16" t="s">
        <v>11</v>
      </c>
      <c r="C4" s="17"/>
      <c r="D4" s="18"/>
      <c r="E4" s="19"/>
      <c r="F4" s="11">
        <v>0</v>
      </c>
      <c r="G4" s="12">
        <v>0</v>
      </c>
      <c r="H4" s="20">
        <v>0</v>
      </c>
      <c r="I4" s="21"/>
      <c r="J4" s="22">
        <v>0</v>
      </c>
    </row>
    <row r="5" spans="1:10" ht="15" thickBot="1" x14ac:dyDescent="0.35">
      <c r="A5" s="1">
        <v>1</v>
      </c>
      <c r="B5" s="16" t="s">
        <v>12</v>
      </c>
      <c r="C5" s="17"/>
      <c r="D5" s="18"/>
      <c r="E5" s="19"/>
      <c r="F5" s="11">
        <v>0</v>
      </c>
      <c r="G5" s="12">
        <v>0</v>
      </c>
      <c r="H5" s="20">
        <v>0</v>
      </c>
      <c r="I5" s="21"/>
      <c r="J5" s="22">
        <v>0</v>
      </c>
    </row>
    <row r="6" spans="1:10" ht="15" thickBot="1" x14ac:dyDescent="0.35">
      <c r="A6" s="1">
        <v>1</v>
      </c>
      <c r="B6" s="16" t="s">
        <v>13</v>
      </c>
      <c r="C6" s="17"/>
      <c r="D6" s="18"/>
      <c r="E6" s="19"/>
      <c r="F6" s="11">
        <v>0</v>
      </c>
      <c r="G6" s="12">
        <v>0</v>
      </c>
      <c r="H6" s="20">
        <v>0</v>
      </c>
      <c r="I6" s="21"/>
      <c r="J6" s="22">
        <v>0</v>
      </c>
    </row>
    <row r="7" spans="1:10" ht="15" thickBot="1" x14ac:dyDescent="0.35">
      <c r="A7" s="1">
        <v>1</v>
      </c>
      <c r="B7" s="16" t="s">
        <v>14</v>
      </c>
      <c r="C7" s="17"/>
      <c r="D7" s="18"/>
      <c r="E7" s="19"/>
      <c r="F7" s="11">
        <v>0</v>
      </c>
      <c r="G7" s="12">
        <v>0</v>
      </c>
      <c r="H7" s="20">
        <v>0</v>
      </c>
      <c r="I7" s="21"/>
      <c r="J7" s="22">
        <v>0</v>
      </c>
    </row>
    <row r="8" spans="1:10" ht="15" thickBot="1" x14ac:dyDescent="0.35">
      <c r="A8" s="1">
        <v>1</v>
      </c>
      <c r="B8" s="16" t="s">
        <v>15</v>
      </c>
      <c r="C8" s="17"/>
      <c r="D8" s="18"/>
      <c r="E8" s="19"/>
      <c r="F8" s="11">
        <v>0</v>
      </c>
      <c r="G8" s="12">
        <v>0</v>
      </c>
      <c r="H8" s="20">
        <v>0</v>
      </c>
      <c r="I8" s="21"/>
      <c r="J8" s="22">
        <v>0</v>
      </c>
    </row>
    <row r="9" spans="1:10" ht="15" thickBot="1" x14ac:dyDescent="0.35">
      <c r="A9" s="1">
        <v>1</v>
      </c>
      <c r="B9" s="16" t="s">
        <v>16</v>
      </c>
      <c r="C9" s="23"/>
      <c r="D9" s="18"/>
      <c r="E9" s="19"/>
      <c r="F9" s="11">
        <v>0</v>
      </c>
      <c r="G9" s="12">
        <v>0</v>
      </c>
      <c r="H9" s="20">
        <v>0</v>
      </c>
      <c r="I9" s="21"/>
      <c r="J9" s="22">
        <v>0</v>
      </c>
    </row>
    <row r="10" spans="1:10" ht="15" thickBot="1" x14ac:dyDescent="0.35">
      <c r="A10" s="1">
        <v>1</v>
      </c>
      <c r="B10" s="16" t="s">
        <v>17</v>
      </c>
      <c r="C10" s="17"/>
      <c r="D10" s="18"/>
      <c r="E10" s="19"/>
      <c r="F10" s="11">
        <v>0</v>
      </c>
      <c r="G10" s="12">
        <v>0</v>
      </c>
      <c r="H10" s="20">
        <v>0</v>
      </c>
      <c r="I10" s="21"/>
      <c r="J10" s="22">
        <v>0</v>
      </c>
    </row>
    <row r="11" spans="1:10" ht="15" thickBot="1" x14ac:dyDescent="0.35">
      <c r="A11" s="1">
        <v>2</v>
      </c>
      <c r="B11" s="16" t="s">
        <v>18</v>
      </c>
      <c r="C11" s="17"/>
      <c r="D11" s="18"/>
      <c r="E11" s="19"/>
      <c r="F11" s="11">
        <v>0</v>
      </c>
      <c r="G11" s="12">
        <v>0</v>
      </c>
      <c r="H11" s="20">
        <v>0</v>
      </c>
      <c r="I11" s="21"/>
      <c r="J11" s="22">
        <v>0</v>
      </c>
    </row>
    <row r="12" spans="1:10" ht="15" thickBot="1" x14ac:dyDescent="0.35">
      <c r="A12" s="1">
        <v>1</v>
      </c>
      <c r="B12" s="16" t="s">
        <v>19</v>
      </c>
      <c r="C12" s="17"/>
      <c r="D12" s="18"/>
      <c r="E12" s="19"/>
      <c r="F12" s="11">
        <v>0</v>
      </c>
      <c r="G12" s="12">
        <v>0</v>
      </c>
      <c r="H12" s="20">
        <v>0</v>
      </c>
      <c r="I12" s="21"/>
      <c r="J12" s="22">
        <v>0</v>
      </c>
    </row>
    <row r="13" spans="1:10" ht="15" thickBot="1" x14ac:dyDescent="0.35">
      <c r="A13" s="1">
        <v>2</v>
      </c>
      <c r="B13" s="16" t="s">
        <v>20</v>
      </c>
      <c r="C13" s="17"/>
      <c r="D13" s="18"/>
      <c r="E13" s="19"/>
      <c r="F13" s="11">
        <v>0</v>
      </c>
      <c r="G13" s="12">
        <v>0</v>
      </c>
      <c r="H13" s="20">
        <v>0</v>
      </c>
      <c r="I13" s="21"/>
      <c r="J13" s="22">
        <v>0</v>
      </c>
    </row>
    <row r="14" spans="1:10" ht="15" thickBot="1" x14ac:dyDescent="0.35">
      <c r="A14" s="1">
        <v>2</v>
      </c>
      <c r="B14" s="16" t="s">
        <v>21</v>
      </c>
      <c r="C14" s="17"/>
      <c r="D14" s="18"/>
      <c r="E14" s="19"/>
      <c r="F14" s="11">
        <v>0</v>
      </c>
      <c r="G14" s="12">
        <v>0</v>
      </c>
      <c r="H14" s="20">
        <v>0</v>
      </c>
      <c r="I14" s="21"/>
      <c r="J14" s="22">
        <v>0</v>
      </c>
    </row>
    <row r="15" spans="1:10" ht="15" thickBot="1" x14ac:dyDescent="0.35">
      <c r="A15" s="1">
        <v>2</v>
      </c>
      <c r="B15" s="16" t="s">
        <v>22</v>
      </c>
      <c r="C15" s="23"/>
      <c r="D15" s="18"/>
      <c r="E15" s="19"/>
      <c r="F15" s="11">
        <v>0</v>
      </c>
      <c r="G15" s="12">
        <v>0</v>
      </c>
      <c r="H15" s="20">
        <v>0</v>
      </c>
      <c r="I15" s="21"/>
      <c r="J15" s="22">
        <v>0</v>
      </c>
    </row>
    <row r="16" spans="1:10" ht="15" thickBot="1" x14ac:dyDescent="0.35">
      <c r="A16" s="1">
        <v>1</v>
      </c>
      <c r="B16" s="16" t="s">
        <v>23</v>
      </c>
      <c r="C16" s="23"/>
      <c r="D16" s="18"/>
      <c r="E16" s="19"/>
      <c r="F16" s="11">
        <v>0</v>
      </c>
      <c r="G16" s="12">
        <v>0</v>
      </c>
      <c r="H16" s="20">
        <v>0</v>
      </c>
      <c r="I16" s="21"/>
      <c r="J16" s="22">
        <v>0</v>
      </c>
    </row>
    <row r="17" spans="1:10" ht="15" thickBot="1" x14ac:dyDescent="0.35">
      <c r="A17" s="1">
        <v>1</v>
      </c>
      <c r="B17" s="16" t="s">
        <v>24</v>
      </c>
      <c r="C17" s="17"/>
      <c r="D17" s="18"/>
      <c r="E17" s="19"/>
      <c r="F17" s="11">
        <v>0</v>
      </c>
      <c r="G17" s="12">
        <v>0</v>
      </c>
      <c r="H17" s="20">
        <v>0</v>
      </c>
      <c r="I17" s="21"/>
      <c r="J17" s="22">
        <v>0</v>
      </c>
    </row>
    <row r="18" spans="1:10" ht="15" thickBot="1" x14ac:dyDescent="0.35">
      <c r="A18" s="1">
        <v>1</v>
      </c>
      <c r="B18" s="16" t="s">
        <v>25</v>
      </c>
      <c r="C18" s="17"/>
      <c r="D18" s="18"/>
      <c r="E18" s="19"/>
      <c r="F18" s="11">
        <v>0</v>
      </c>
      <c r="G18" s="12">
        <v>0</v>
      </c>
      <c r="H18" s="20">
        <v>0</v>
      </c>
      <c r="I18" s="21"/>
      <c r="J18" s="22">
        <v>0</v>
      </c>
    </row>
    <row r="19" spans="1:10" ht="15" thickBot="1" x14ac:dyDescent="0.35">
      <c r="A19" s="1">
        <v>1</v>
      </c>
      <c r="B19" s="16" t="s">
        <v>26</v>
      </c>
      <c r="C19" s="17"/>
      <c r="D19" s="24"/>
      <c r="E19" s="19"/>
      <c r="F19" s="11">
        <v>0</v>
      </c>
      <c r="G19" s="12">
        <v>0</v>
      </c>
      <c r="H19" s="20">
        <v>0</v>
      </c>
      <c r="I19" s="21"/>
      <c r="J19" s="22">
        <v>0</v>
      </c>
    </row>
    <row r="20" spans="1:10" ht="15" thickBot="1" x14ac:dyDescent="0.35">
      <c r="A20" s="1">
        <v>1</v>
      </c>
      <c r="B20" s="16" t="s">
        <v>27</v>
      </c>
      <c r="C20" s="17"/>
      <c r="D20" s="24"/>
      <c r="E20" s="19"/>
      <c r="F20" s="11">
        <v>0</v>
      </c>
      <c r="G20" s="12">
        <v>0</v>
      </c>
      <c r="H20" s="20">
        <v>0</v>
      </c>
      <c r="I20" s="21"/>
      <c r="J20" s="22">
        <v>0</v>
      </c>
    </row>
    <row r="21" spans="1:10" ht="15" thickBot="1" x14ac:dyDescent="0.35">
      <c r="A21" s="1">
        <v>1</v>
      </c>
      <c r="B21" s="16" t="s">
        <v>28</v>
      </c>
      <c r="C21" s="17"/>
      <c r="D21" s="24"/>
      <c r="E21" s="19"/>
      <c r="F21" s="11">
        <v>0</v>
      </c>
      <c r="G21" s="12">
        <v>0</v>
      </c>
      <c r="H21" s="20">
        <v>0</v>
      </c>
      <c r="I21" s="21"/>
      <c r="J21" s="22">
        <v>0</v>
      </c>
    </row>
    <row r="22" spans="1:10" ht="15" thickBot="1" x14ac:dyDescent="0.35">
      <c r="A22" s="1">
        <v>1</v>
      </c>
      <c r="B22" s="16" t="s">
        <v>29</v>
      </c>
      <c r="C22" s="17"/>
      <c r="D22" s="24"/>
      <c r="E22" s="19"/>
      <c r="F22" s="11">
        <v>0</v>
      </c>
      <c r="G22" s="12">
        <v>0</v>
      </c>
      <c r="H22" s="20">
        <v>0</v>
      </c>
      <c r="I22" s="21"/>
      <c r="J22" s="22">
        <v>0</v>
      </c>
    </row>
    <row r="23" spans="1:10" ht="15" thickBot="1" x14ac:dyDescent="0.35">
      <c r="A23" s="1">
        <v>2</v>
      </c>
      <c r="B23" s="16" t="s">
        <v>30</v>
      </c>
      <c r="C23" s="17"/>
      <c r="D23" s="24"/>
      <c r="E23" s="19"/>
      <c r="F23" s="11">
        <v>0</v>
      </c>
      <c r="G23" s="12">
        <v>0</v>
      </c>
      <c r="H23" s="20">
        <v>0</v>
      </c>
      <c r="I23" s="21"/>
      <c r="J23" s="22">
        <v>0</v>
      </c>
    </row>
    <row r="24" spans="1:10" ht="15" thickBot="1" x14ac:dyDescent="0.35">
      <c r="A24" s="1">
        <v>2</v>
      </c>
      <c r="B24" s="16" t="s">
        <v>31</v>
      </c>
      <c r="C24" s="17"/>
      <c r="D24" s="24"/>
      <c r="E24" s="19"/>
      <c r="F24" s="11">
        <v>0</v>
      </c>
      <c r="G24" s="12">
        <v>0</v>
      </c>
      <c r="H24" s="20">
        <v>0</v>
      </c>
      <c r="I24" s="21"/>
      <c r="J24" s="22">
        <v>0</v>
      </c>
    </row>
    <row r="25" spans="1:10" ht="15" thickBot="1" x14ac:dyDescent="0.35">
      <c r="A25" s="1">
        <v>1</v>
      </c>
      <c r="B25" s="16" t="s">
        <v>32</v>
      </c>
      <c r="C25" s="17"/>
      <c r="D25" s="24"/>
      <c r="E25" s="19"/>
      <c r="F25" s="11">
        <v>0</v>
      </c>
      <c r="G25" s="12">
        <v>0</v>
      </c>
      <c r="H25" s="20">
        <v>0</v>
      </c>
      <c r="I25" s="21"/>
      <c r="J25" s="22">
        <v>0</v>
      </c>
    </row>
    <row r="26" spans="1:10" ht="15" thickBot="1" x14ac:dyDescent="0.35">
      <c r="A26" s="1">
        <v>2</v>
      </c>
      <c r="B26" s="16" t="s">
        <v>33</v>
      </c>
      <c r="C26" s="17"/>
      <c r="D26" s="24"/>
      <c r="E26" s="19"/>
      <c r="F26" s="11">
        <v>0</v>
      </c>
      <c r="G26" s="12">
        <v>0</v>
      </c>
      <c r="H26" s="20">
        <v>0</v>
      </c>
      <c r="I26" s="21"/>
      <c r="J26" s="22">
        <v>0</v>
      </c>
    </row>
    <row r="27" spans="1:10" ht="15" thickBot="1" x14ac:dyDescent="0.35">
      <c r="A27" s="1"/>
      <c r="B27" s="16" t="s">
        <v>34</v>
      </c>
      <c r="C27" s="17"/>
      <c r="D27" s="24"/>
      <c r="E27" s="19"/>
      <c r="F27" s="11">
        <v>0</v>
      </c>
      <c r="G27" s="12">
        <v>0</v>
      </c>
      <c r="H27" s="20">
        <v>0</v>
      </c>
      <c r="I27" s="21"/>
      <c r="J27" s="22">
        <v>0</v>
      </c>
    </row>
    <row r="28" spans="1:10" x14ac:dyDescent="0.3">
      <c r="A28" s="1"/>
      <c r="B28" s="16" t="s">
        <v>35</v>
      </c>
      <c r="C28" s="17"/>
      <c r="D28" s="24"/>
      <c r="E28" s="19"/>
      <c r="F28" s="11">
        <v>0</v>
      </c>
      <c r="G28" s="12">
        <v>0</v>
      </c>
      <c r="H28" s="20">
        <v>0</v>
      </c>
      <c r="I28" s="21"/>
      <c r="J28" s="22">
        <v>0</v>
      </c>
    </row>
    <row r="29" spans="1:10" x14ac:dyDescent="0.3">
      <c r="A29" s="1"/>
      <c r="B29" s="16"/>
      <c r="C29" s="17"/>
      <c r="D29" s="24"/>
      <c r="E29" s="19"/>
      <c r="F29" s="52"/>
      <c r="G29" s="53"/>
      <c r="H29" s="20"/>
      <c r="I29" s="21"/>
      <c r="J29" s="22"/>
    </row>
    <row r="30" spans="1:10" x14ac:dyDescent="0.3">
      <c r="A30" s="1"/>
      <c r="B30" s="16"/>
      <c r="C30" s="17"/>
      <c r="D30" s="24"/>
      <c r="E30" s="19"/>
      <c r="F30" s="52"/>
      <c r="G30" s="53"/>
      <c r="H30" s="20"/>
      <c r="I30" s="21"/>
      <c r="J30" s="22"/>
    </row>
    <row r="31" spans="1:10" ht="15" thickBot="1" x14ac:dyDescent="0.35">
      <c r="A31" s="1"/>
      <c r="B31" s="25"/>
      <c r="C31" s="26"/>
      <c r="D31" s="27"/>
      <c r="E31" s="28"/>
      <c r="F31" s="29"/>
      <c r="G31" s="30"/>
      <c r="H31" s="31"/>
      <c r="I31" s="32"/>
      <c r="J31" s="33"/>
    </row>
    <row r="32" spans="1:10" ht="15" thickBot="1" x14ac:dyDescent="0.35">
      <c r="A32" s="1">
        <v>2</v>
      </c>
      <c r="B32" s="16" t="s">
        <v>36</v>
      </c>
      <c r="C32" s="23"/>
      <c r="D32" s="34">
        <v>0</v>
      </c>
      <c r="E32" s="34">
        <v>0</v>
      </c>
      <c r="F32" s="35">
        <v>0</v>
      </c>
      <c r="G32" s="36">
        <v>0</v>
      </c>
      <c r="H32" s="37">
        <v>0</v>
      </c>
      <c r="I32" s="21"/>
      <c r="J32" s="22">
        <v>0</v>
      </c>
    </row>
    <row r="33" spans="1:10" ht="15" thickBot="1" x14ac:dyDescent="0.35">
      <c r="A33" s="1">
        <v>1</v>
      </c>
      <c r="B33" s="16" t="s">
        <v>37</v>
      </c>
      <c r="C33" s="23"/>
      <c r="D33" s="38">
        <v>0</v>
      </c>
      <c r="E33" s="38">
        <v>0</v>
      </c>
      <c r="F33" s="39">
        <v>0</v>
      </c>
      <c r="G33" s="36">
        <v>0</v>
      </c>
      <c r="H33" s="37">
        <v>0</v>
      </c>
      <c r="I33" s="21"/>
      <c r="J33" s="22">
        <v>0</v>
      </c>
    </row>
    <row r="34" spans="1:10" ht="15" thickBot="1" x14ac:dyDescent="0.35">
      <c r="A34" s="1" t="s">
        <v>38</v>
      </c>
      <c r="B34" s="16" t="s">
        <v>39</v>
      </c>
      <c r="C34" s="23"/>
      <c r="D34" s="40" t="e">
        <v>#DIV/0!</v>
      </c>
      <c r="E34" s="40">
        <v>0</v>
      </c>
      <c r="F34" s="41">
        <v>0</v>
      </c>
      <c r="G34" s="36">
        <v>0</v>
      </c>
      <c r="H34" s="37" t="e">
        <v>#DIV/0!</v>
      </c>
      <c r="I34" s="21"/>
      <c r="J34" s="22" t="e">
        <v>#DIV/0!</v>
      </c>
    </row>
    <row r="35" spans="1:10" ht="15" thickBot="1" x14ac:dyDescent="0.35">
      <c r="A35" s="1" t="s">
        <v>38</v>
      </c>
      <c r="B35" s="42" t="s">
        <v>40</v>
      </c>
      <c r="C35" s="43"/>
      <c r="D35" s="44" t="e">
        <v>#DIV/0!</v>
      </c>
      <c r="E35" s="44" t="e">
        <v>#DIV/0!</v>
      </c>
      <c r="F35" s="35" t="e">
        <v>#DIV/0!</v>
      </c>
      <c r="G35" s="36">
        <v>0</v>
      </c>
      <c r="H35" s="37" t="e">
        <v>#DIV/0!</v>
      </c>
      <c r="I35" s="45"/>
      <c r="J35" s="46" t="e">
        <v>#DIV/0!</v>
      </c>
    </row>
    <row r="36" spans="1:10" x14ac:dyDescent="0.3">
      <c r="A36" s="1"/>
      <c r="B36"/>
      <c r="C36" s="47"/>
      <c r="D36" s="48"/>
      <c r="E36" t="s">
        <v>41</v>
      </c>
      <c r="F36">
        <v>85</v>
      </c>
      <c r="G36"/>
      <c r="H36"/>
      <c r="I36"/>
      <c r="J36"/>
    </row>
    <row r="37" spans="1:10" x14ac:dyDescent="0.3">
      <c r="A37" s="1"/>
      <c r="B37"/>
      <c r="C37" s="49"/>
      <c r="D37" s="49"/>
      <c r="E37"/>
      <c r="F37"/>
      <c r="G37"/>
      <c r="H37"/>
      <c r="I37"/>
      <c r="J37"/>
    </row>
    <row r="38" spans="1:10" x14ac:dyDescent="0.3">
      <c r="A38" s="1"/>
      <c r="B38"/>
      <c r="C38" s="49" t="s">
        <v>42</v>
      </c>
      <c r="D38" s="49">
        <v>15</v>
      </c>
      <c r="E38"/>
      <c r="F38"/>
      <c r="G38"/>
      <c r="H38"/>
      <c r="I38"/>
      <c r="J38"/>
    </row>
    <row r="39" spans="1:10" x14ac:dyDescent="0.3">
      <c r="A39" s="1"/>
      <c r="B39"/>
      <c r="C39" s="49" t="s">
        <v>43</v>
      </c>
      <c r="D39" s="49">
        <v>9</v>
      </c>
      <c r="E39"/>
      <c r="F39"/>
      <c r="G39"/>
      <c r="H39"/>
      <c r="I39"/>
      <c r="J39"/>
    </row>
    <row r="40" spans="1:10" x14ac:dyDescent="0.3">
      <c r="A40" s="1"/>
      <c r="B40"/>
      <c r="C40" s="49" t="s">
        <v>44</v>
      </c>
      <c r="D40" s="49">
        <v>0</v>
      </c>
      <c r="E40"/>
      <c r="F40"/>
      <c r="G40"/>
      <c r="H40"/>
      <c r="I40"/>
      <c r="J40"/>
    </row>
    <row r="41" spans="1:10" x14ac:dyDescent="0.3">
      <c r="A41" s="1"/>
      <c r="B41"/>
      <c r="C41" s="49"/>
      <c r="D41" s="49"/>
      <c r="E41"/>
      <c r="F41"/>
      <c r="G41"/>
      <c r="H41"/>
      <c r="I41"/>
      <c r="J41"/>
    </row>
    <row r="42" spans="1:10" x14ac:dyDescent="0.3">
      <c r="A42" s="1"/>
      <c r="B42"/>
      <c r="C42" s="50"/>
      <c r="D42" s="50"/>
      <c r="E42"/>
      <c r="F42"/>
      <c r="G42"/>
      <c r="H42"/>
      <c r="I42"/>
      <c r="J4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46720-07EA-4029-B5EB-53E7224FBC1F}">
  <sheetPr codeName="Hoja54"/>
  <dimension ref="A1"/>
  <sheetViews>
    <sheetView workbookViewId="0">
      <selection activeCell="B3" sqref="B3"/>
    </sheetView>
  </sheetViews>
  <sheetFormatPr baseColWidth="10" defaultColWidth="11.44140625" defaultRowHeight="14.4" x14ac:dyDescent="0.3"/>
  <cols>
    <col min="1" max="16384" width="11.44140625" style="58"/>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E7AE3-B00E-4BE8-83CE-F55FAA1F92FA}">
  <sheetPr codeName="Hoja55"/>
  <dimension ref="A1"/>
  <sheetViews>
    <sheetView workbookViewId="0">
      <selection activeCell="B3" sqref="B3"/>
    </sheetView>
  </sheetViews>
  <sheetFormatPr baseColWidth="10" defaultColWidth="11.44140625" defaultRowHeight="14.4" x14ac:dyDescent="0.3"/>
  <cols>
    <col min="1" max="16384" width="11.44140625" style="58"/>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87457-CE3D-4443-8104-C5BD23410017}">
  <sheetPr codeName="Hoja56"/>
  <dimension ref="A1"/>
  <sheetViews>
    <sheetView workbookViewId="0">
      <selection activeCell="B3" sqref="B3"/>
    </sheetView>
  </sheetViews>
  <sheetFormatPr baseColWidth="10" defaultColWidth="11.44140625" defaultRowHeight="14.4" x14ac:dyDescent="0.3"/>
  <cols>
    <col min="1" max="16384" width="11.44140625" style="58"/>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17B2F-8137-4F6D-AE62-55D39AC80FA6}">
  <sheetPr codeName="Hoja57"/>
  <dimension ref="A1"/>
  <sheetViews>
    <sheetView workbookViewId="0">
      <selection activeCell="B3" sqref="B3"/>
    </sheetView>
  </sheetViews>
  <sheetFormatPr baseColWidth="10" defaultColWidth="11.44140625" defaultRowHeight="14.4" x14ac:dyDescent="0.3"/>
  <cols>
    <col min="1" max="16384" width="11.44140625" style="58"/>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7F096-7B2C-4FB0-B001-1C9E6834FBCC}">
  <sheetPr codeName="Hoja58"/>
  <dimension ref="A1"/>
  <sheetViews>
    <sheetView workbookViewId="0">
      <selection activeCell="B3" sqref="B3"/>
    </sheetView>
  </sheetViews>
  <sheetFormatPr baseColWidth="10" defaultColWidth="11.44140625" defaultRowHeight="14.4" x14ac:dyDescent="0.3"/>
  <cols>
    <col min="1" max="16384" width="11.44140625" style="58"/>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8A5F8-1DE5-471C-8F5D-A4275C4FF9D7}">
  <sheetPr codeName="Hoja59"/>
  <dimension ref="A1"/>
  <sheetViews>
    <sheetView workbookViewId="0">
      <selection activeCell="B3" sqref="B3"/>
    </sheetView>
  </sheetViews>
  <sheetFormatPr baseColWidth="10" defaultColWidth="11.44140625" defaultRowHeight="14.4" x14ac:dyDescent="0.3"/>
  <cols>
    <col min="1" max="16384" width="11.44140625" style="58"/>
  </cols>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F7B6E-356B-4853-8697-C5A8309C0332}">
  <sheetPr codeName="Hoja60"/>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EAB77-D522-498C-8740-C15E7B7C5E2B}">
  <sheetPr codeName="Hoja61"/>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B72A-3AAA-4028-91E9-16AFB702AAB3}">
  <sheetPr codeName="Hoja62"/>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9D94E-E20F-447C-B537-FB984530C5BE}">
  <sheetPr codeName="Hoja63"/>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94378-0F92-4DAB-B7E0-196781799574}">
  <sheetPr codeName="Hoja64"/>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91C2E-E749-46AC-BCFE-F3CCF36C8F37}">
  <sheetPr codeName="Hoja65"/>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41E6-B60F-4A42-AA56-0929D20E3B87}">
  <sheetPr codeName="Hoja66"/>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B119B-11D2-443F-AD91-AC21295C932D}">
  <sheetPr codeName="Hoja67"/>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1F822-D91E-40A8-919E-DA471ED364C0}">
  <sheetPr codeName="Hoja68"/>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5B782-4285-4056-9396-E340C1BED5B3}">
  <sheetPr codeName="Hoja69"/>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2B7C8-4B2E-4A46-A846-33DB3F18977A}">
  <sheetPr codeName="Hoja70"/>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68EA3-044D-47A8-B47B-597E008C5C1E}">
  <sheetPr codeName="Hoja71"/>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D55BB-6616-414E-849F-D389DB9AA846}">
  <sheetPr codeName="Hoja72"/>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3E550-B6F0-4762-8D4B-D2AEE83E8599}">
  <sheetPr codeName="Hoja73"/>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87172-2AEF-42ED-8C98-AEE713A54CE5}">
  <sheetPr codeName="Hoja74"/>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2159A-21F1-466C-87B4-7F3EA84E6A9B}">
  <sheetPr codeName="Hoja75"/>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95680-6911-4E67-9C54-778121F140C3}">
  <sheetPr codeName="Hoja76"/>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AA8D2-BE93-407D-95B1-FD844A42BBD3}">
  <sheetPr codeName="Hoja77"/>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619DF-9401-4AD7-83E7-D1716E2F6104}">
  <sheetPr codeName="Hoja78"/>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DEB8-7FCD-4283-83CC-1DD63C2F44AD}">
  <sheetPr codeName="Hoja79"/>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5E924-AE52-4658-BE55-981AD875FD6C}">
  <sheetPr codeName="Hoja80"/>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47917-4ADC-48FC-A221-454FBAC189AB}">
  <sheetPr codeName="Hoja81"/>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EDCBB-878F-48E3-BC6B-8B7BFCBC0F12}">
  <sheetPr codeName="Hoja82"/>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0AF9A-FB3E-43E3-B6AB-30F239642A46}">
  <sheetPr codeName="Hoja83"/>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65CBB-D9E4-44FF-9126-236F3546FE53}">
  <sheetPr codeName="Hoja84"/>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2D431-B2C1-4396-9D7D-0E393B2B16DB}">
  <sheetPr codeName="Hoja85"/>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85949-F3B2-4BCF-90B2-D882BF8B1614}">
  <sheetPr codeName="Hoja86"/>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7AA8F-8315-4307-AEA3-18D99FA66D8D}">
  <sheetPr codeName="Hoja87"/>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C60F0-E60D-4FB4-A954-B46C0FE76314}">
  <sheetPr codeName="Hoja88"/>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98750-7518-4EDB-BEE9-5DD7DD22FF0A}">
  <sheetPr codeName="Hoja89"/>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36071-A459-4736-9D96-9DF1F9F8241E}">
  <sheetPr codeName="Hoja90"/>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BFC89-3781-4EA5-9F32-330C90DBC3F6}">
  <sheetPr codeName="Hoja91"/>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C3E40-A190-46DA-B7D3-E38A2E7A3C96}">
  <sheetPr codeName="Hoja92"/>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72B52-9B5E-49FC-94B8-39086DEBAB5E}">
  <sheetPr codeName="Hoja93"/>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5C71B-2584-4461-AD2F-55F1BC627E29}">
  <sheetPr codeName="Hoja94"/>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2BA63-E4BF-41AA-8E00-EEC3460E078E}">
  <sheetPr codeName="Hoja95"/>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A19FB-3A2A-4C00-915B-F9E0E57B2767}">
  <sheetPr codeName="Hoja96"/>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CC7E0-9AE4-4866-AC25-45AA06BF7789}">
  <sheetPr codeName="Hoja97"/>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AC774-A068-47EB-874F-AA279F851CC4}">
  <sheetPr codeName="Hoja98"/>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2B9A0-01F6-4793-8C7D-EBEC6D3DDE37}">
  <sheetPr codeName="Hoja99"/>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725A5-CAFB-4437-AABD-F454983BE6E2}">
  <sheetPr codeName="Hoja100"/>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964EA-FB0F-4DFA-BC49-FD35FD239BCD}">
  <sheetPr codeName="Hoja101"/>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4D545-CF16-48D0-B135-F1661728F2FE}">
  <sheetPr codeName="Hoja102"/>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53E07-934E-46D9-B312-9C6C27437F1C}">
  <sheetPr codeName="Hoja103"/>
  <dimension ref="A1"/>
  <sheetViews>
    <sheetView workbookViewId="0">
      <selection sqref="A1:XFD1048576"/>
    </sheetView>
  </sheetViews>
  <sheetFormatPr baseColWidth="10" defaultColWidth="11.44140625" defaultRowHeight="14.4" x14ac:dyDescent="0.3"/>
  <cols>
    <col min="1" max="16384" width="11.44140625" style="58"/>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54</vt:i4>
      </vt:variant>
    </vt:vector>
  </HeadingPairs>
  <TitlesOfParts>
    <vt:vector size="54" baseType="lpstr">
      <vt:lpstr>PRINCIPAL</vt:lpstr>
      <vt:lpstr>PROMEDIO ANUAL</vt:lpstr>
      <vt:lpstr>SEM 01</vt:lpstr>
      <vt:lpstr>SEM 02</vt:lpstr>
      <vt:lpstr>SEM 03</vt:lpstr>
      <vt:lpstr>SEM 04</vt:lpstr>
      <vt:lpstr>SEM 05</vt:lpstr>
      <vt:lpstr>SEM 06</vt:lpstr>
      <vt:lpstr>SEM 07</vt:lpstr>
      <vt:lpstr>SEM 08</vt:lpstr>
      <vt:lpstr>SEM 09</vt:lpstr>
      <vt:lpstr>SEM 10</vt:lpstr>
      <vt:lpstr>SEM 11</vt:lpstr>
      <vt:lpstr>SEM 12</vt:lpstr>
      <vt:lpstr>SEM 13</vt:lpstr>
      <vt:lpstr>SEM 14</vt:lpstr>
      <vt:lpstr>SEM 15</vt:lpstr>
      <vt:lpstr>SEM 16</vt:lpstr>
      <vt:lpstr>SEM 17</vt:lpstr>
      <vt:lpstr>SEM 18</vt:lpstr>
      <vt:lpstr>SEM 19</vt:lpstr>
      <vt:lpstr>SEM 20</vt:lpstr>
      <vt:lpstr>SEM 21</vt:lpstr>
      <vt:lpstr>SEM 22</vt:lpstr>
      <vt:lpstr>SEM 23</vt:lpstr>
      <vt:lpstr>SEM 24</vt:lpstr>
      <vt:lpstr>SEM 25</vt:lpstr>
      <vt:lpstr>SEM 26</vt:lpstr>
      <vt:lpstr>SEM 27</vt:lpstr>
      <vt:lpstr>SEM 28</vt:lpstr>
      <vt:lpstr>SEM 29</vt:lpstr>
      <vt:lpstr>SEM 30</vt:lpstr>
      <vt:lpstr>SEM 31</vt:lpstr>
      <vt:lpstr>SEM 32</vt:lpstr>
      <vt:lpstr>SEM 33</vt:lpstr>
      <vt:lpstr>SEM 34</vt:lpstr>
      <vt:lpstr>SEM 35</vt:lpstr>
      <vt:lpstr>SEM 36</vt:lpstr>
      <vt:lpstr>SEM 37</vt:lpstr>
      <vt:lpstr>SEM 38</vt:lpstr>
      <vt:lpstr>SEM 39</vt:lpstr>
      <vt:lpstr>SEM 40</vt:lpstr>
      <vt:lpstr>SEM 41</vt:lpstr>
      <vt:lpstr>SEM 42</vt:lpstr>
      <vt:lpstr>SEM 43</vt:lpstr>
      <vt:lpstr>SEM 44</vt:lpstr>
      <vt:lpstr>SEM 45</vt:lpstr>
      <vt:lpstr>SEM 46</vt:lpstr>
      <vt:lpstr>SEM 47</vt:lpstr>
      <vt:lpstr>SEM 48</vt:lpstr>
      <vt:lpstr>SEM 49</vt:lpstr>
      <vt:lpstr>SEM 50</vt:lpstr>
      <vt:lpstr>SEM 51</vt:lpstr>
      <vt:lpstr>SEM 52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sistemas</dc:creator>
  <cp:lastModifiedBy>lilyei</cp:lastModifiedBy>
  <dcterms:created xsi:type="dcterms:W3CDTF">2019-11-05T19:17:34Z</dcterms:created>
  <dcterms:modified xsi:type="dcterms:W3CDTF">2019-11-12T16:54:59Z</dcterms:modified>
</cp:coreProperties>
</file>